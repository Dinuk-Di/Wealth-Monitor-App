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Dinuk\Investment-Tracker\"/>
    </mc:Choice>
  </mc:AlternateContent>
  <xr:revisionPtr revIDLastSave="0" documentId="13_ncr:1_{510E05E8-95D1-4372-8D7F-5DBE454E69C3}" xr6:coauthVersionLast="47" xr6:coauthVersionMax="47" xr10:uidLastSave="{00000000-0000-0000-0000-000000000000}"/>
  <bookViews>
    <workbookView xWindow="-108" yWindow="-108" windowWidth="23256" windowHeight="12456" xr2:uid="{72DAA1D2-9D2F-48D1-9E66-1118664FF5B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0" i="1" l="1"/>
  <c r="K19" i="1"/>
  <c r="H7" i="1"/>
  <c r="K18" i="1"/>
  <c r="K14" i="1"/>
  <c r="K17" i="1"/>
  <c r="K16" i="1"/>
  <c r="K13" i="1"/>
  <c r="K15" i="1"/>
  <c r="D34" i="1"/>
  <c r="D35" i="1" s="1"/>
  <c r="D36" i="1" s="1"/>
  <c r="D37" i="1" s="1"/>
  <c r="D38" i="1" s="1"/>
  <c r="D39" i="1" s="1"/>
  <c r="D40" i="1" s="1"/>
  <c r="D41" i="1" s="1"/>
  <c r="D42" i="1" s="1"/>
  <c r="D43" i="1" s="1"/>
  <c r="M12" i="1"/>
  <c r="K12" i="1"/>
  <c r="L13" i="1"/>
  <c r="L14" i="1" s="1"/>
  <c r="H6" i="1"/>
  <c r="H5" i="1"/>
  <c r="H4" i="1"/>
  <c r="H3" i="1"/>
  <c r="L15" i="1" l="1"/>
  <c r="L16" i="1" s="1"/>
  <c r="L17" i="1" s="1"/>
  <c r="L18" i="1" s="1"/>
</calcChain>
</file>

<file path=xl/sharedStrings.xml><?xml version="1.0" encoding="utf-8"?>
<sst xmlns="http://schemas.openxmlformats.org/spreadsheetml/2006/main" count="120" uniqueCount="79">
  <si>
    <t>Where</t>
  </si>
  <si>
    <t>Type</t>
  </si>
  <si>
    <t>Amount</t>
  </si>
  <si>
    <t>Interest</t>
  </si>
  <si>
    <t>Profit/Loss</t>
  </si>
  <si>
    <t>Info</t>
  </si>
  <si>
    <t>Genie</t>
  </si>
  <si>
    <t>Joint</t>
  </si>
  <si>
    <t>Personal</t>
  </si>
  <si>
    <t>Period(Months)</t>
  </si>
  <si>
    <t>FD</t>
  </si>
  <si>
    <t xml:space="preserve">CAL </t>
  </si>
  <si>
    <t>Fixed Income Opportunities</t>
  </si>
  <si>
    <t>Unit Trust</t>
  </si>
  <si>
    <t>Investment Grade Fund</t>
  </si>
  <si>
    <t>Equity</t>
  </si>
  <si>
    <t>Company</t>
  </si>
  <si>
    <t>Bought Price</t>
  </si>
  <si>
    <t>Sold Price</t>
  </si>
  <si>
    <t>Bought Date</t>
  </si>
  <si>
    <t>Sold Date</t>
  </si>
  <si>
    <t>Code</t>
  </si>
  <si>
    <t>Investments</t>
  </si>
  <si>
    <t>HNB</t>
  </si>
  <si>
    <t>HNB.N</t>
  </si>
  <si>
    <t>CAL</t>
  </si>
  <si>
    <t>Maturity Date</t>
  </si>
  <si>
    <t>No</t>
  </si>
  <si>
    <t>Units</t>
  </si>
  <si>
    <t>Sold Commision</t>
  </si>
  <si>
    <t>Bought Commision</t>
  </si>
  <si>
    <t>HAYLEYS FABRIC</t>
  </si>
  <si>
    <t>MGT.N</t>
  </si>
  <si>
    <t>HEMAS</t>
  </si>
  <si>
    <t>HHL.N</t>
  </si>
  <si>
    <t>Remaining After Bought</t>
  </si>
  <si>
    <t>Added After Sold</t>
  </si>
  <si>
    <t>Date</t>
  </si>
  <si>
    <t>BOC</t>
  </si>
  <si>
    <t>Comment</t>
  </si>
  <si>
    <t>Remaning Amount For The Date</t>
  </si>
  <si>
    <t>Payin/Payout</t>
  </si>
  <si>
    <t>Bank/Stocks</t>
  </si>
  <si>
    <t>Added from the Bank</t>
  </si>
  <si>
    <t>Sold HNB for profit of 332.96</t>
  </si>
  <si>
    <t>Balance of Equity</t>
  </si>
  <si>
    <t>Added to Equity</t>
  </si>
  <si>
    <t>Sold</t>
  </si>
  <si>
    <t xml:space="preserve">Extra </t>
  </si>
  <si>
    <t>From Didi</t>
  </si>
  <si>
    <t>NDB</t>
  </si>
  <si>
    <t>NDB.N</t>
  </si>
  <si>
    <t>15/7/2025</t>
  </si>
  <si>
    <t>JOHN KEELS</t>
  </si>
  <si>
    <t>JKH.N</t>
  </si>
  <si>
    <t>OVERSEAS REALITY</t>
  </si>
  <si>
    <t>OSEA.N</t>
  </si>
  <si>
    <t>Bought NDB at 125.75 rupees 50 units</t>
  </si>
  <si>
    <t>Bought JKH.N at 25.9 rupees 500 units</t>
  </si>
  <si>
    <t>Bought OSEA.N at 31.7 rupees 250 units</t>
  </si>
  <si>
    <t>25/7/2025</t>
  </si>
  <si>
    <t>Sold OSEA.N for 36.5 units 250</t>
  </si>
  <si>
    <t>Browns</t>
  </si>
  <si>
    <t>BIL.N</t>
  </si>
  <si>
    <t>BROWNS</t>
  </si>
  <si>
    <t>Bought Browns at 7.9 units 1250</t>
  </si>
  <si>
    <t>Sold Hemas at 31.1 units 200</t>
  </si>
  <si>
    <t>Added my money + didi money(10000) but here added only 5000</t>
  </si>
  <si>
    <t>Teejay Lanka</t>
  </si>
  <si>
    <t>Bought Teejay at 47.8 units 150</t>
  </si>
  <si>
    <t>Bought Teejay at 47.5 units 100</t>
  </si>
  <si>
    <t>TJL.N</t>
  </si>
  <si>
    <t>Matured</t>
  </si>
  <si>
    <t>Loan</t>
  </si>
  <si>
    <t xml:space="preserve">Amount </t>
  </si>
  <si>
    <t>Reason</t>
  </si>
  <si>
    <t>HNB Account Creation</t>
  </si>
  <si>
    <t>Loan Pay for 2 months(March, April)</t>
  </si>
  <si>
    <t>HNB Transferred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</si>
</sst>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4" x14ac:knownFonts="1">
    <font>
      <sz val="11"/>
      <color theme="1"/>
      <name val="Aptos Narrow"/>
      <family val="2"/>
      <scheme val="minor"/>
    </font>
    <font>
      <sz val="26"/>
      <color theme="0"/>
      <name val="Aptos Narrow"/>
      <family val="2"/>
      <scheme val="minor"/>
    </font>
    <font>
      <sz val="22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48">
    <xf numFmtId="0" fontId="0" fillId="0" borderId="0" xfId="0"/>
    <xf numFmtId="0" fontId="0" fillId="0" borderId="1" xfId="0" applyBorder="1"/>
    <xf numFmtId="2" fontId="0" fillId="0" borderId="1" xfId="0" applyNumberFormat="1" applyBorder="1"/>
    <xf numFmtId="2" fontId="0" fillId="0" borderId="0" xfId="0" applyNumberFormat="1"/>
    <xf numFmtId="14" fontId="0" fillId="0" borderId="1" xfId="0" applyNumberFormat="1" applyBorder="1"/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0" fillId="2" borderId="0" xfId="0" applyFill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1" xfId="0" applyBorder="1" applyAlignment="1">
      <alignment wrapText="1"/>
    </xf>
    <xf numFmtId="0" fontId="0" fillId="4" borderId="0" xfId="0" applyFill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5" borderId="1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0" fillId="5" borderId="1" xfId="0" applyFill="1" applyBorder="1"/>
    <xf numFmtId="14" fontId="0" fillId="5" borderId="1" xfId="0" applyNumberFormat="1" applyFill="1" applyBorder="1"/>
    <xf numFmtId="2" fontId="0" fillId="5" borderId="1" xfId="0" applyNumberFormat="1" applyFill="1" applyBorder="1"/>
    <xf numFmtId="0" fontId="0" fillId="5" borderId="3" xfId="0" applyFill="1" applyBorder="1"/>
    <xf numFmtId="0" fontId="0" fillId="5" borderId="0" xfId="0" applyFill="1"/>
    <xf numFmtId="0" fontId="0" fillId="6" borderId="0" xfId="0" applyFill="1"/>
    <xf numFmtId="0" fontId="0" fillId="2" borderId="0" xfId="0" applyFill="1"/>
    <xf numFmtId="14" fontId="0" fillId="0" borderId="1" xfId="0" applyNumberFormat="1" applyBorder="1" applyAlignment="1">
      <alignment horizontal="right"/>
    </xf>
    <xf numFmtId="0" fontId="0" fillId="0" borderId="1" xfId="0" applyBorder="1" applyAlignment="1">
      <alignment horizontal="right"/>
    </xf>
    <xf numFmtId="14" fontId="0" fillId="5" borderId="1" xfId="0" applyNumberFormat="1" applyFill="1" applyBorder="1" applyAlignment="1">
      <alignment horizontal="right"/>
    </xf>
    <xf numFmtId="0" fontId="0" fillId="6" borderId="4" xfId="0" applyFill="1" applyBorder="1"/>
    <xf numFmtId="2" fontId="0" fillId="6" borderId="4" xfId="0" applyNumberFormat="1" applyFill="1" applyBorder="1"/>
    <xf numFmtId="14" fontId="0" fillId="6" borderId="4" xfId="0" applyNumberFormat="1" applyFill="1" applyBorder="1"/>
    <xf numFmtId="14" fontId="0" fillId="0" borderId="0" xfId="0" applyNumberFormat="1"/>
    <xf numFmtId="0" fontId="0" fillId="0" borderId="4" xfId="0" applyBorder="1" applyAlignment="1">
      <alignment horizontal="center"/>
    </xf>
    <xf numFmtId="0" fontId="0" fillId="0" borderId="4" xfId="0" applyBorder="1"/>
    <xf numFmtId="14" fontId="0" fillId="0" borderId="4" xfId="0" applyNumberFormat="1" applyBorder="1"/>
    <xf numFmtId="2" fontId="0" fillId="0" borderId="4" xfId="0" applyNumberFormat="1" applyBorder="1"/>
    <xf numFmtId="0" fontId="0" fillId="6" borderId="1" xfId="0" applyFill="1" applyBorder="1"/>
    <xf numFmtId="2" fontId="0" fillId="6" borderId="1" xfId="0" applyNumberFormat="1" applyFill="1" applyBorder="1"/>
    <xf numFmtId="14" fontId="0" fillId="6" borderId="1" xfId="0" applyNumberFormat="1" applyFill="1" applyBorder="1"/>
    <xf numFmtId="0" fontId="1" fillId="3" borderId="2" xfId="0" applyFont="1" applyFill="1" applyBorder="1" applyAlignment="1">
      <alignment horizontal="center" vertical="center" wrapText="1"/>
    </xf>
    <xf numFmtId="0" fontId="0" fillId="3" borderId="2" xfId="0" applyFill="1" applyBorder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0" fillId="3" borderId="2" xfId="0" applyFill="1" applyBorder="1" applyAlignment="1">
      <alignment horizontal="center" wrapText="1"/>
    </xf>
    <xf numFmtId="0" fontId="0" fillId="4" borderId="2" xfId="0" applyFill="1" applyBorder="1" applyAlignment="1">
      <alignment horizontal="center" wrapText="1"/>
    </xf>
    <xf numFmtId="43" fontId="0" fillId="0" borderId="0" xfId="1" applyFont="1"/>
    <xf numFmtId="0" fontId="0" fillId="0" borderId="0" xfId="1" applyNumberFormat="1" applyFont="1"/>
    <xf numFmtId="0" fontId="0" fillId="0" borderId="0" xfId="1" applyNumberFormat="1" applyFont="1" applyFill="1" applyBorder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F2A58-A0C2-4CFD-A939-076BF73C65B0}">
  <dimension ref="A1:BCY51"/>
  <sheetViews>
    <sheetView tabSelected="1" zoomScale="40" zoomScaleNormal="40" workbookViewId="0">
      <selection activeCell="D44" sqref="D44"/>
    </sheetView>
  </sheetViews>
  <sheetFormatPr defaultRowHeight="14.4" x14ac:dyDescent="0.3"/>
  <cols>
    <col min="1" max="1" width="12.77734375" customWidth="1"/>
    <col min="2" max="2" width="28.6640625" customWidth="1"/>
    <col min="3" max="3" width="31" customWidth="1"/>
    <col min="4" max="4" width="24.109375" customWidth="1"/>
    <col min="5" max="5" width="25.44140625" customWidth="1"/>
    <col min="6" max="6" width="13.6640625" style="3" customWidth="1"/>
    <col min="7" max="7" width="16.21875" style="3" customWidth="1"/>
    <col min="8" max="9" width="14.33203125" customWidth="1"/>
    <col min="10" max="10" width="20.77734375" customWidth="1"/>
    <col min="11" max="11" width="16.77734375" customWidth="1"/>
    <col min="12" max="12" width="20.109375" customWidth="1"/>
    <col min="13" max="13" width="27.5546875" customWidth="1"/>
    <col min="14" max="14" width="27.44140625" customWidth="1"/>
    <col min="15" max="15" width="62.6640625" customWidth="1"/>
  </cols>
  <sheetData>
    <row r="1" spans="1:1455" ht="49.2" customHeight="1" x14ac:dyDescent="0.3">
      <c r="A1" s="41" t="s">
        <v>22</v>
      </c>
      <c r="B1" s="42"/>
      <c r="C1" s="42"/>
      <c r="D1" s="42"/>
      <c r="E1" s="42"/>
      <c r="F1" s="42"/>
      <c r="G1" s="42"/>
      <c r="H1" s="42"/>
      <c r="I1" s="42"/>
      <c r="J1" s="42"/>
      <c r="K1" s="7"/>
      <c r="L1" s="23"/>
    </row>
    <row r="2" spans="1:1455" x14ac:dyDescent="0.3">
      <c r="A2" s="1" t="s">
        <v>0</v>
      </c>
      <c r="B2" s="1" t="s">
        <v>1</v>
      </c>
      <c r="C2" s="1"/>
      <c r="D2" s="1" t="s">
        <v>2</v>
      </c>
      <c r="E2" s="1" t="s">
        <v>3</v>
      </c>
      <c r="F2" s="2" t="s">
        <v>9</v>
      </c>
      <c r="G2" s="2"/>
      <c r="H2" s="1" t="s">
        <v>4</v>
      </c>
      <c r="I2" s="1"/>
      <c r="J2" s="1" t="s">
        <v>5</v>
      </c>
      <c r="K2" s="1" t="s">
        <v>26</v>
      </c>
      <c r="L2" s="1" t="s">
        <v>39</v>
      </c>
    </row>
    <row r="3" spans="1:1455" x14ac:dyDescent="0.3">
      <c r="A3" s="1" t="s">
        <v>6</v>
      </c>
      <c r="B3" s="1" t="s">
        <v>7</v>
      </c>
      <c r="C3" s="1"/>
      <c r="D3" s="1">
        <v>100000</v>
      </c>
      <c r="E3" s="1">
        <v>9.75</v>
      </c>
      <c r="F3" s="2">
        <v>12</v>
      </c>
      <c r="G3" s="2"/>
      <c r="H3" s="1">
        <f>((D3*E3)*F3)/(12*100)</f>
        <v>9750</v>
      </c>
      <c r="I3" s="1"/>
      <c r="J3" s="1" t="s">
        <v>10</v>
      </c>
      <c r="K3" s="4">
        <v>46026</v>
      </c>
      <c r="L3" s="1"/>
    </row>
    <row r="4" spans="1:1455" s="22" customFormat="1" x14ac:dyDescent="0.3">
      <c r="A4" s="35" t="s">
        <v>6</v>
      </c>
      <c r="B4" s="35" t="s">
        <v>8</v>
      </c>
      <c r="C4" s="35"/>
      <c r="D4" s="35">
        <v>415000</v>
      </c>
      <c r="E4" s="35">
        <v>6</v>
      </c>
      <c r="F4" s="36">
        <v>1</v>
      </c>
      <c r="G4" s="36"/>
      <c r="H4" s="35">
        <f>((D4*E4)*F4)/(12*100)</f>
        <v>2075</v>
      </c>
      <c r="I4" s="35"/>
      <c r="J4" s="35" t="s">
        <v>10</v>
      </c>
      <c r="K4" s="37">
        <v>46791</v>
      </c>
      <c r="L4" s="35" t="s">
        <v>72</v>
      </c>
    </row>
    <row r="5" spans="1:1455" x14ac:dyDescent="0.3">
      <c r="A5" s="1" t="s">
        <v>11</v>
      </c>
      <c r="B5" s="1" t="s">
        <v>12</v>
      </c>
      <c r="C5" s="1"/>
      <c r="D5" s="1">
        <v>76353.13</v>
      </c>
      <c r="E5" s="1">
        <v>9.16</v>
      </c>
      <c r="F5" s="2">
        <v>3.3333333333333333E-2</v>
      </c>
      <c r="G5" s="2"/>
      <c r="H5" s="1">
        <f>((D5*E5)*F5)/(12*100)</f>
        <v>19.427629744444445</v>
      </c>
      <c r="I5" s="1"/>
      <c r="J5" s="1" t="s">
        <v>13</v>
      </c>
      <c r="K5" s="4" t="s">
        <v>27</v>
      </c>
      <c r="L5" s="1"/>
    </row>
    <row r="6" spans="1:1455" s="22" customFormat="1" x14ac:dyDescent="0.3">
      <c r="A6" s="27" t="s">
        <v>11</v>
      </c>
      <c r="B6" s="27" t="s">
        <v>14</v>
      </c>
      <c r="C6" s="27"/>
      <c r="D6" s="27">
        <v>10316.58</v>
      </c>
      <c r="E6" s="27">
        <v>8.69</v>
      </c>
      <c r="F6" s="28">
        <v>0.03</v>
      </c>
      <c r="G6" s="28"/>
      <c r="H6" s="27">
        <f>((D6*E6)*F6)/(12*100)</f>
        <v>2.2412770049999997</v>
      </c>
      <c r="I6" s="27"/>
      <c r="J6" s="27" t="s">
        <v>13</v>
      </c>
      <c r="K6" s="29" t="s">
        <v>27</v>
      </c>
      <c r="L6" s="27" t="s">
        <v>46</v>
      </c>
    </row>
    <row r="7" spans="1:1455" s="1" customFormat="1" x14ac:dyDescent="0.3">
      <c r="A7" s="1" t="s">
        <v>11</v>
      </c>
      <c r="B7" s="1" t="s">
        <v>12</v>
      </c>
      <c r="D7" s="1">
        <v>7500</v>
      </c>
      <c r="E7" s="1">
        <v>9.16</v>
      </c>
      <c r="F7" s="2">
        <v>0.03</v>
      </c>
      <c r="G7" s="2"/>
      <c r="H7" s="1">
        <f>((D7*E7)*F7)/(12*100)</f>
        <v>1.7175</v>
      </c>
      <c r="J7" s="1" t="s">
        <v>13</v>
      </c>
      <c r="K7" s="4" t="s">
        <v>27</v>
      </c>
    </row>
    <row r="8" spans="1:1455" x14ac:dyDescent="0.3">
      <c r="K8" s="30"/>
    </row>
    <row r="10" spans="1:1455" ht="70.2" customHeight="1" x14ac:dyDescent="0.3">
      <c r="A10" s="38" t="s">
        <v>15</v>
      </c>
      <c r="B10" s="39"/>
      <c r="C10" s="39"/>
      <c r="D10" s="39"/>
      <c r="E10" s="39"/>
      <c r="F10" s="39"/>
      <c r="G10" s="39"/>
      <c r="H10" s="39"/>
      <c r="I10" s="39"/>
      <c r="J10" s="39"/>
      <c r="K10" s="40"/>
      <c r="L10" s="8"/>
      <c r="M10" s="43"/>
      <c r="N10" s="43"/>
    </row>
    <row r="11" spans="1:1455" x14ac:dyDescent="0.3">
      <c r="A11" s="5"/>
      <c r="B11" s="5" t="s">
        <v>16</v>
      </c>
      <c r="C11" s="5" t="s">
        <v>21</v>
      </c>
      <c r="D11" s="5" t="s">
        <v>28</v>
      </c>
      <c r="E11" s="5" t="s">
        <v>17</v>
      </c>
      <c r="F11" s="5" t="s">
        <v>19</v>
      </c>
      <c r="G11" s="5" t="s">
        <v>30</v>
      </c>
      <c r="H11" s="5" t="s">
        <v>18</v>
      </c>
      <c r="I11" s="5" t="s">
        <v>20</v>
      </c>
      <c r="J11" s="6" t="s">
        <v>29</v>
      </c>
      <c r="K11" s="5" t="s">
        <v>4</v>
      </c>
      <c r="L11" s="5" t="s">
        <v>35</v>
      </c>
      <c r="M11" s="5" t="s">
        <v>36</v>
      </c>
      <c r="N11" s="1" t="s">
        <v>39</v>
      </c>
      <c r="O11" s="9"/>
    </row>
    <row r="12" spans="1:1455" s="21" customFormat="1" x14ac:dyDescent="0.3">
      <c r="A12" s="15" t="s">
        <v>25</v>
      </c>
      <c r="B12" s="16" t="s">
        <v>23</v>
      </c>
      <c r="C12" s="15" t="s">
        <v>24</v>
      </c>
      <c r="D12" s="17">
        <v>50</v>
      </c>
      <c r="E12" s="17">
        <v>331.75</v>
      </c>
      <c r="F12" s="18">
        <v>45906</v>
      </c>
      <c r="G12" s="17">
        <v>185.78</v>
      </c>
      <c r="H12" s="19">
        <v>346</v>
      </c>
      <c r="I12" s="18">
        <v>45968</v>
      </c>
      <c r="J12" s="20">
        <v>193.76</v>
      </c>
      <c r="K12" s="17">
        <f>(((H12*D12)-(E12*D12))-(G12+J12))</f>
        <v>332.96000000000004</v>
      </c>
      <c r="L12" s="17">
        <v>12936.92</v>
      </c>
      <c r="M12" s="17">
        <f>((H12*D12)-J12)</f>
        <v>17106.240000000002</v>
      </c>
      <c r="N12" s="17" t="s">
        <v>47</v>
      </c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  <c r="DV12"/>
      <c r="DW12"/>
      <c r="DX12"/>
      <c r="DY12"/>
      <c r="DZ12"/>
      <c r="EA12"/>
      <c r="EB12"/>
      <c r="EC12"/>
      <c r="ED12"/>
      <c r="EE12"/>
      <c r="EF12"/>
      <c r="EG12"/>
      <c r="EH12"/>
      <c r="EI12"/>
      <c r="EJ12"/>
      <c r="EK12"/>
      <c r="EL12"/>
      <c r="EM12"/>
      <c r="EN12"/>
      <c r="EO12"/>
      <c r="EP12"/>
      <c r="EQ12"/>
      <c r="ER12"/>
      <c r="ES12"/>
      <c r="ET12"/>
      <c r="EU12"/>
      <c r="EV12"/>
      <c r="EW12"/>
      <c r="EX12"/>
      <c r="EY12"/>
      <c r="EZ12"/>
      <c r="FA12"/>
      <c r="FB12"/>
      <c r="FC12"/>
      <c r="FD12"/>
      <c r="FE12"/>
      <c r="FF12"/>
      <c r="FG12"/>
      <c r="FH12"/>
      <c r="FI12"/>
      <c r="FJ12"/>
      <c r="FK12"/>
      <c r="FL12"/>
      <c r="FM12"/>
      <c r="FN12"/>
      <c r="FO12"/>
      <c r="FP12"/>
      <c r="FQ12"/>
      <c r="FR12"/>
      <c r="FS12"/>
      <c r="FT12"/>
      <c r="FU12"/>
      <c r="FV12"/>
      <c r="FW12"/>
      <c r="FX12"/>
      <c r="FY12"/>
      <c r="FZ12"/>
      <c r="GA12"/>
      <c r="GB12"/>
      <c r="GC12"/>
      <c r="GD12"/>
      <c r="GE12"/>
      <c r="GF12"/>
      <c r="GG12"/>
      <c r="GH12"/>
      <c r="GI12"/>
      <c r="GJ12"/>
      <c r="GK12"/>
      <c r="GL12"/>
      <c r="GM12"/>
      <c r="GN12"/>
      <c r="GO12"/>
      <c r="GP12"/>
      <c r="GQ12"/>
      <c r="GR12"/>
      <c r="GS12"/>
      <c r="GT12"/>
      <c r="GU12"/>
      <c r="GV12"/>
      <c r="GW12"/>
      <c r="GX12"/>
      <c r="GY12"/>
      <c r="GZ12"/>
      <c r="HA12"/>
      <c r="HB12"/>
      <c r="HC12"/>
      <c r="HD12"/>
      <c r="HE12"/>
      <c r="HF12"/>
      <c r="HG12"/>
      <c r="HH12"/>
      <c r="HI12"/>
      <c r="HJ12"/>
      <c r="HK12"/>
      <c r="HL12"/>
      <c r="HM12"/>
      <c r="HN12"/>
      <c r="HO12"/>
      <c r="HP12"/>
      <c r="HQ12"/>
      <c r="HR12"/>
      <c r="HS12"/>
      <c r="HT12"/>
      <c r="HU12"/>
      <c r="HV12"/>
      <c r="HW12"/>
      <c r="HX12"/>
      <c r="HY12"/>
      <c r="HZ12"/>
      <c r="IA12"/>
      <c r="IB12"/>
      <c r="IC12"/>
      <c r="ID12"/>
      <c r="IE12"/>
      <c r="IF12"/>
      <c r="IG12"/>
      <c r="IH12"/>
      <c r="II12"/>
      <c r="IJ12"/>
      <c r="IK12"/>
      <c r="IL12"/>
      <c r="IM12"/>
      <c r="IN12"/>
      <c r="IO12"/>
      <c r="IP12"/>
      <c r="IQ12"/>
      <c r="IR12"/>
      <c r="IS12"/>
      <c r="IT12"/>
      <c r="IU12"/>
      <c r="IV12"/>
      <c r="IW12"/>
      <c r="IX12"/>
      <c r="IY12"/>
      <c r="IZ12"/>
      <c r="JA12"/>
      <c r="JB12"/>
      <c r="JC12"/>
      <c r="JD12"/>
      <c r="JE12"/>
      <c r="JF12"/>
      <c r="JG12"/>
      <c r="JH12"/>
      <c r="JI12"/>
      <c r="JJ12"/>
      <c r="JK12"/>
      <c r="JL12"/>
      <c r="JM12"/>
      <c r="JN12"/>
      <c r="JO12"/>
      <c r="JP12"/>
      <c r="JQ12"/>
      <c r="JR12"/>
      <c r="JS12"/>
      <c r="JT12"/>
      <c r="JU12"/>
      <c r="JV12"/>
      <c r="JW12"/>
      <c r="JX12"/>
      <c r="JY12"/>
      <c r="JZ12"/>
      <c r="KA12"/>
      <c r="KB12"/>
      <c r="KC12"/>
      <c r="KD12"/>
      <c r="KE12"/>
      <c r="KF12"/>
      <c r="KG12"/>
      <c r="KH12"/>
      <c r="KI12"/>
      <c r="KJ12"/>
      <c r="KK12"/>
      <c r="KL12"/>
      <c r="KM12"/>
      <c r="KN12"/>
      <c r="KO12"/>
      <c r="KP12"/>
      <c r="KQ12"/>
      <c r="KR12"/>
      <c r="KS12"/>
      <c r="KT12"/>
      <c r="KU12"/>
      <c r="KV12"/>
      <c r="KW12"/>
      <c r="KX12"/>
      <c r="KY12"/>
      <c r="KZ12"/>
      <c r="LA12"/>
      <c r="LB12"/>
      <c r="LC12"/>
      <c r="LD12"/>
      <c r="LE12"/>
      <c r="LF12"/>
      <c r="LG12"/>
      <c r="LH12"/>
      <c r="LI12"/>
      <c r="LJ12"/>
      <c r="LK12"/>
      <c r="LL12"/>
      <c r="LM12"/>
      <c r="LN12"/>
      <c r="LO12"/>
      <c r="LP12"/>
      <c r="LQ12"/>
      <c r="LR12"/>
      <c r="LS12"/>
      <c r="LT12"/>
      <c r="LU12"/>
      <c r="LV12"/>
      <c r="LW12"/>
      <c r="LX12"/>
      <c r="LY12"/>
      <c r="LZ12"/>
      <c r="MA12"/>
      <c r="MB12"/>
      <c r="MC12"/>
      <c r="MD12"/>
      <c r="ME12"/>
      <c r="MF12"/>
      <c r="MG12"/>
      <c r="MH12"/>
      <c r="MI12"/>
      <c r="MJ12"/>
      <c r="MK12"/>
      <c r="ML12"/>
      <c r="MM12"/>
      <c r="MN12"/>
      <c r="MO12"/>
      <c r="MP12"/>
      <c r="MQ12"/>
      <c r="MR12"/>
      <c r="MS12"/>
      <c r="MT12"/>
      <c r="MU12"/>
      <c r="MV12"/>
      <c r="MW12"/>
      <c r="MX12"/>
      <c r="MY12"/>
      <c r="MZ12"/>
      <c r="NA12"/>
      <c r="NB12"/>
      <c r="NC12"/>
      <c r="ND12"/>
      <c r="NE12"/>
      <c r="NF12"/>
      <c r="NG12"/>
      <c r="NH12"/>
      <c r="NI12"/>
      <c r="NJ12"/>
      <c r="NK12"/>
      <c r="NL12"/>
      <c r="NM12"/>
      <c r="NN12"/>
      <c r="NO12"/>
      <c r="NP12"/>
      <c r="NQ12"/>
      <c r="NR12"/>
      <c r="NS12"/>
      <c r="NT12"/>
      <c r="NU12"/>
      <c r="NV12"/>
      <c r="NW12"/>
      <c r="NX12"/>
      <c r="NY12"/>
      <c r="NZ12"/>
      <c r="OA12"/>
      <c r="OB12"/>
      <c r="OC12"/>
      <c r="OD12"/>
      <c r="OE12"/>
      <c r="OF12"/>
      <c r="OG12"/>
      <c r="OH12"/>
      <c r="OI12"/>
      <c r="OJ12"/>
      <c r="OK12"/>
      <c r="OL12"/>
      <c r="OM12"/>
      <c r="ON12"/>
      <c r="OO12"/>
      <c r="OP12"/>
      <c r="OQ12"/>
      <c r="OR12"/>
      <c r="OS12"/>
      <c r="OT12"/>
      <c r="OU12"/>
      <c r="OV12"/>
      <c r="OW12"/>
      <c r="OX12"/>
      <c r="OY12"/>
      <c r="OZ12"/>
      <c r="PA12"/>
      <c r="PB12"/>
      <c r="PC12"/>
      <c r="PD12"/>
      <c r="PE12"/>
      <c r="PF12"/>
      <c r="PG12"/>
      <c r="PH12"/>
      <c r="PI12"/>
      <c r="PJ12"/>
      <c r="PK12"/>
      <c r="PL12"/>
      <c r="PM12"/>
      <c r="PN12"/>
      <c r="PO12"/>
      <c r="PP12"/>
      <c r="PQ12"/>
      <c r="PR12"/>
      <c r="PS12"/>
      <c r="PT12"/>
      <c r="PU12"/>
      <c r="PV12"/>
      <c r="PW12"/>
      <c r="PX12"/>
      <c r="PY12"/>
      <c r="PZ12"/>
      <c r="QA12"/>
      <c r="QB12"/>
      <c r="QC12"/>
      <c r="QD12"/>
      <c r="QE12"/>
      <c r="QF12"/>
      <c r="QG12"/>
      <c r="QH12"/>
      <c r="QI12"/>
      <c r="QJ12"/>
      <c r="QK12"/>
      <c r="QL12"/>
      <c r="QM12"/>
      <c r="QN12"/>
      <c r="QO12"/>
      <c r="QP12"/>
      <c r="QQ12"/>
      <c r="QR12"/>
      <c r="QS12"/>
      <c r="QT12"/>
      <c r="QU12"/>
      <c r="QV12"/>
      <c r="QW12"/>
      <c r="QX12"/>
      <c r="QY12"/>
      <c r="QZ12"/>
      <c r="RA12"/>
      <c r="RB12"/>
      <c r="RC12"/>
      <c r="RD12"/>
      <c r="RE12"/>
      <c r="RF12"/>
      <c r="RG12"/>
      <c r="RH12"/>
      <c r="RI12"/>
      <c r="RJ12"/>
      <c r="RK12"/>
      <c r="RL12"/>
      <c r="RM12"/>
      <c r="RN12"/>
      <c r="RO12"/>
      <c r="RP12"/>
      <c r="RQ12"/>
      <c r="RR12"/>
      <c r="RS12"/>
      <c r="RT12"/>
      <c r="RU12"/>
      <c r="RV12"/>
      <c r="RW12"/>
      <c r="RX12"/>
      <c r="RY12"/>
      <c r="RZ12"/>
      <c r="SA12"/>
      <c r="SB12"/>
      <c r="SC12"/>
      <c r="SD12"/>
      <c r="SE12"/>
      <c r="SF12"/>
      <c r="SG12"/>
      <c r="SH12"/>
      <c r="SI12"/>
      <c r="SJ12"/>
      <c r="SK12"/>
      <c r="SL12"/>
      <c r="SM12"/>
      <c r="SN12"/>
      <c r="SO12"/>
      <c r="SP12"/>
      <c r="SQ12"/>
      <c r="SR12"/>
      <c r="SS12"/>
      <c r="ST12"/>
      <c r="SU12"/>
      <c r="SV12"/>
      <c r="SW12"/>
      <c r="SX12"/>
      <c r="SY12"/>
      <c r="SZ12"/>
      <c r="TA12"/>
      <c r="TB12"/>
      <c r="TC12"/>
      <c r="TD12"/>
      <c r="TE12"/>
      <c r="TF12"/>
      <c r="TG12"/>
      <c r="TH12"/>
      <c r="TI12"/>
      <c r="TJ12"/>
      <c r="TK12"/>
      <c r="TL12"/>
      <c r="TM12"/>
      <c r="TN12"/>
      <c r="TO12"/>
      <c r="TP12"/>
      <c r="TQ12"/>
      <c r="TR12"/>
      <c r="TS12"/>
      <c r="TT12"/>
      <c r="TU12"/>
      <c r="TV12"/>
      <c r="TW12"/>
      <c r="TX12"/>
      <c r="TY12"/>
      <c r="TZ12"/>
      <c r="UA12"/>
      <c r="UB12"/>
      <c r="UC12"/>
      <c r="UD12"/>
      <c r="UE12"/>
      <c r="UF12"/>
      <c r="UG12"/>
      <c r="UH12"/>
      <c r="UI12"/>
      <c r="UJ12"/>
      <c r="UK12"/>
      <c r="UL12"/>
      <c r="UM12"/>
      <c r="UN12"/>
      <c r="UO12"/>
      <c r="UP12"/>
      <c r="UQ12"/>
      <c r="UR12"/>
      <c r="US12"/>
      <c r="UT12"/>
      <c r="UU12"/>
      <c r="UV12"/>
      <c r="UW12"/>
      <c r="UX12"/>
      <c r="UY12"/>
      <c r="UZ12"/>
      <c r="VA12"/>
      <c r="VB12"/>
      <c r="VC12"/>
      <c r="VD12"/>
      <c r="VE12"/>
      <c r="VF12"/>
      <c r="VG12"/>
      <c r="VH12"/>
      <c r="VI12"/>
      <c r="VJ12"/>
      <c r="VK12"/>
      <c r="VL12"/>
      <c r="VM12"/>
      <c r="VN12"/>
      <c r="VO12"/>
      <c r="VP12"/>
      <c r="VQ12"/>
      <c r="VR12"/>
      <c r="VS12"/>
      <c r="VT12"/>
      <c r="VU12"/>
      <c r="VV12"/>
      <c r="VW12"/>
      <c r="VX12"/>
      <c r="VY12"/>
      <c r="VZ12"/>
      <c r="WA12"/>
      <c r="WB12"/>
      <c r="WC12"/>
      <c r="WD12"/>
      <c r="WE12"/>
      <c r="WF12"/>
      <c r="WG12"/>
      <c r="WH12"/>
      <c r="WI12"/>
      <c r="WJ12"/>
      <c r="WK12"/>
      <c r="WL12"/>
      <c r="WM12"/>
      <c r="WN12"/>
      <c r="WO12"/>
      <c r="WP12"/>
      <c r="WQ12"/>
      <c r="WR12"/>
      <c r="WS12"/>
      <c r="WT12"/>
      <c r="WU12"/>
      <c r="WV12"/>
      <c r="WW12"/>
      <c r="WX12"/>
      <c r="WY12"/>
      <c r="WZ12"/>
      <c r="XA12"/>
      <c r="XB12"/>
      <c r="XC12"/>
      <c r="XD12"/>
      <c r="XE12"/>
      <c r="XF12"/>
      <c r="XG12"/>
      <c r="XH12"/>
      <c r="XI12"/>
      <c r="XJ12"/>
      <c r="XK12"/>
      <c r="XL12"/>
      <c r="XM12"/>
      <c r="XN12"/>
      <c r="XO12"/>
      <c r="XP12"/>
      <c r="XQ12"/>
      <c r="XR12"/>
      <c r="XS12"/>
      <c r="XT12"/>
      <c r="XU12"/>
      <c r="XV12"/>
      <c r="XW12"/>
      <c r="XX12"/>
      <c r="XY12"/>
      <c r="XZ12"/>
      <c r="YA12"/>
      <c r="YB12"/>
      <c r="YC12"/>
      <c r="YD12"/>
      <c r="YE12"/>
      <c r="YF12"/>
      <c r="YG12"/>
      <c r="YH12"/>
      <c r="YI12"/>
      <c r="YJ12"/>
      <c r="YK12"/>
      <c r="YL12"/>
      <c r="YM12"/>
      <c r="YN12"/>
      <c r="YO12"/>
      <c r="YP12"/>
      <c r="YQ12"/>
      <c r="YR12"/>
      <c r="YS12"/>
      <c r="YT12"/>
      <c r="YU12"/>
      <c r="YV12"/>
      <c r="YW12"/>
      <c r="YX12"/>
      <c r="YY12"/>
      <c r="YZ12"/>
      <c r="ZA12"/>
      <c r="ZB12"/>
      <c r="ZC12"/>
      <c r="ZD12"/>
      <c r="ZE12"/>
      <c r="ZF12"/>
      <c r="ZG12"/>
      <c r="ZH12"/>
      <c r="ZI12"/>
      <c r="ZJ12"/>
      <c r="ZK12"/>
      <c r="ZL12"/>
      <c r="ZM12"/>
      <c r="ZN12"/>
      <c r="ZO12"/>
      <c r="ZP12"/>
      <c r="ZQ12"/>
      <c r="ZR12"/>
      <c r="ZS12"/>
      <c r="ZT12"/>
      <c r="ZU12"/>
      <c r="ZV12"/>
      <c r="ZW12"/>
      <c r="ZX12"/>
      <c r="ZY12"/>
      <c r="ZZ12"/>
      <c r="AAA12"/>
      <c r="AAB12"/>
      <c r="AAC12"/>
      <c r="AAD12"/>
      <c r="AAE12"/>
      <c r="AAF12"/>
      <c r="AAG12"/>
      <c r="AAH12"/>
      <c r="AAI12"/>
      <c r="AAJ12"/>
      <c r="AAK12"/>
      <c r="AAL12"/>
      <c r="AAM12"/>
      <c r="AAN12"/>
      <c r="AAO12"/>
      <c r="AAP12"/>
      <c r="AAQ12"/>
      <c r="AAR12"/>
      <c r="AAS12"/>
      <c r="AAT12"/>
      <c r="AAU12"/>
      <c r="AAV12"/>
      <c r="AAW12"/>
      <c r="AAX12"/>
      <c r="AAY12"/>
      <c r="AAZ12"/>
      <c r="ABA12"/>
      <c r="ABB12"/>
      <c r="ABC12"/>
      <c r="ABD12"/>
      <c r="ABE12"/>
      <c r="ABF12"/>
      <c r="ABG12"/>
      <c r="ABH12"/>
      <c r="ABI12"/>
      <c r="ABJ12"/>
      <c r="ABK12"/>
      <c r="ABL12"/>
      <c r="ABM12"/>
      <c r="ABN12"/>
      <c r="ABO12"/>
      <c r="ABP12"/>
      <c r="ABQ12"/>
      <c r="ABR12"/>
      <c r="ABS12"/>
      <c r="ABT12"/>
      <c r="ABU12"/>
      <c r="ABV12"/>
      <c r="ABW12"/>
      <c r="ABX12"/>
      <c r="ABY12"/>
      <c r="ABZ12"/>
      <c r="ACA12"/>
      <c r="ACB12"/>
      <c r="ACC12"/>
      <c r="ACD12"/>
      <c r="ACE12"/>
      <c r="ACF12"/>
      <c r="ACG12"/>
      <c r="ACH12"/>
      <c r="ACI12"/>
      <c r="ACJ12"/>
      <c r="ACK12"/>
      <c r="ACL12"/>
      <c r="ACM12"/>
      <c r="ACN12"/>
      <c r="ACO12"/>
      <c r="ACP12"/>
      <c r="ACQ12"/>
      <c r="ACR12"/>
      <c r="ACS12"/>
      <c r="ACT12"/>
      <c r="ACU12"/>
      <c r="ACV12"/>
      <c r="ACW12"/>
      <c r="ACX12"/>
      <c r="ACY12"/>
      <c r="ACZ12"/>
      <c r="ADA12"/>
      <c r="ADB12"/>
      <c r="ADC12"/>
      <c r="ADD12"/>
      <c r="ADE12"/>
      <c r="ADF12"/>
      <c r="ADG12"/>
      <c r="ADH12"/>
      <c r="ADI12"/>
      <c r="ADJ12"/>
      <c r="ADK12"/>
      <c r="ADL12"/>
      <c r="ADM12"/>
      <c r="ADN12"/>
      <c r="ADO12"/>
      <c r="ADP12"/>
      <c r="ADQ12"/>
      <c r="ADR12"/>
      <c r="ADS12"/>
      <c r="ADT12"/>
      <c r="ADU12"/>
      <c r="ADV12"/>
      <c r="ADW12"/>
      <c r="ADX12"/>
      <c r="ADY12"/>
      <c r="ADZ12"/>
      <c r="AEA12"/>
      <c r="AEB12"/>
      <c r="AEC12"/>
      <c r="AED12"/>
      <c r="AEE12"/>
      <c r="AEF12"/>
      <c r="AEG12"/>
      <c r="AEH12"/>
      <c r="AEI12"/>
      <c r="AEJ12"/>
      <c r="AEK12"/>
      <c r="AEL12"/>
      <c r="AEM12"/>
      <c r="AEN12"/>
      <c r="AEO12"/>
      <c r="AEP12"/>
      <c r="AEQ12"/>
      <c r="AER12"/>
      <c r="AES12"/>
      <c r="AET12"/>
      <c r="AEU12"/>
      <c r="AEV12"/>
      <c r="AEW12"/>
      <c r="AEX12"/>
      <c r="AEY12"/>
      <c r="AEZ12"/>
      <c r="AFA12"/>
      <c r="AFB12"/>
      <c r="AFC12"/>
      <c r="AFD12"/>
      <c r="AFE12"/>
      <c r="AFF12"/>
      <c r="AFG12"/>
      <c r="AFH12"/>
      <c r="AFI12"/>
      <c r="AFJ12"/>
      <c r="AFK12"/>
      <c r="AFL12"/>
      <c r="AFM12"/>
      <c r="AFN12"/>
      <c r="AFO12"/>
      <c r="AFP12"/>
      <c r="AFQ12"/>
      <c r="AFR12"/>
      <c r="AFS12"/>
      <c r="AFT12"/>
      <c r="AFU12"/>
      <c r="AFV12"/>
      <c r="AFW12"/>
      <c r="AFX12"/>
      <c r="AFY12"/>
      <c r="AFZ12"/>
      <c r="AGA12"/>
      <c r="AGB12"/>
      <c r="AGC12"/>
      <c r="AGD12"/>
      <c r="AGE12"/>
      <c r="AGF12"/>
      <c r="AGG12"/>
      <c r="AGH12"/>
      <c r="AGI12"/>
      <c r="AGJ12"/>
      <c r="AGK12"/>
      <c r="AGL12"/>
      <c r="AGM12"/>
      <c r="AGN12"/>
      <c r="AGO12"/>
      <c r="AGP12"/>
      <c r="AGQ12"/>
      <c r="AGR12"/>
      <c r="AGS12"/>
      <c r="AGT12"/>
      <c r="AGU12"/>
      <c r="AGV12"/>
      <c r="AGW12"/>
      <c r="AGX12"/>
      <c r="AGY12"/>
      <c r="AGZ12"/>
      <c r="AHA12"/>
      <c r="AHB12"/>
      <c r="AHC12"/>
      <c r="AHD12"/>
      <c r="AHE12"/>
      <c r="AHF12"/>
      <c r="AHG12"/>
      <c r="AHH12"/>
      <c r="AHI12"/>
      <c r="AHJ12"/>
      <c r="AHK12"/>
      <c r="AHL12"/>
      <c r="AHM12"/>
      <c r="AHN12"/>
      <c r="AHO12"/>
      <c r="AHP12"/>
      <c r="AHQ12"/>
      <c r="AHR12"/>
      <c r="AHS12"/>
      <c r="AHT12"/>
      <c r="AHU12"/>
      <c r="AHV12"/>
      <c r="AHW12"/>
      <c r="AHX12"/>
      <c r="AHY12"/>
      <c r="AHZ12"/>
      <c r="AIA12"/>
      <c r="AIB12"/>
      <c r="AIC12"/>
      <c r="AID12"/>
      <c r="AIE12"/>
      <c r="AIF12"/>
      <c r="AIG12"/>
      <c r="AIH12"/>
      <c r="AII12"/>
      <c r="AIJ12"/>
      <c r="AIK12"/>
      <c r="AIL12"/>
      <c r="AIM12"/>
      <c r="AIN12"/>
      <c r="AIO12"/>
      <c r="AIP12"/>
      <c r="AIQ12"/>
      <c r="AIR12"/>
      <c r="AIS12"/>
      <c r="AIT12"/>
      <c r="AIU12"/>
      <c r="AIV12"/>
      <c r="AIW12"/>
      <c r="AIX12"/>
      <c r="AIY12"/>
      <c r="AIZ12"/>
      <c r="AJA12"/>
      <c r="AJB12"/>
      <c r="AJC12"/>
      <c r="AJD12"/>
      <c r="AJE12"/>
      <c r="AJF12"/>
      <c r="AJG12"/>
      <c r="AJH12"/>
      <c r="AJI12"/>
      <c r="AJJ12"/>
      <c r="AJK12"/>
      <c r="AJL12"/>
      <c r="AJM12"/>
      <c r="AJN12"/>
      <c r="AJO12"/>
      <c r="AJP12"/>
      <c r="AJQ12"/>
      <c r="AJR12"/>
      <c r="AJS12"/>
      <c r="AJT12"/>
      <c r="AJU12"/>
      <c r="AJV12"/>
      <c r="AJW12"/>
      <c r="AJX12"/>
      <c r="AJY12"/>
      <c r="AJZ12"/>
      <c r="AKA12"/>
      <c r="AKB12"/>
      <c r="AKC12"/>
      <c r="AKD12"/>
      <c r="AKE12"/>
      <c r="AKF12"/>
      <c r="AKG12"/>
      <c r="AKH12"/>
      <c r="AKI12"/>
      <c r="AKJ12"/>
      <c r="AKK12"/>
      <c r="AKL12"/>
      <c r="AKM12"/>
      <c r="AKN12"/>
      <c r="AKO12"/>
      <c r="AKP12"/>
      <c r="AKQ12"/>
      <c r="AKR12"/>
      <c r="AKS12"/>
      <c r="AKT12"/>
      <c r="AKU12"/>
      <c r="AKV12"/>
      <c r="AKW12"/>
      <c r="AKX12"/>
      <c r="AKY12"/>
      <c r="AKZ12"/>
      <c r="ALA12"/>
      <c r="ALB12"/>
      <c r="ALC12"/>
      <c r="ALD12"/>
      <c r="ALE12"/>
      <c r="ALF12"/>
      <c r="ALG12"/>
      <c r="ALH12"/>
      <c r="ALI12"/>
      <c r="ALJ12"/>
      <c r="ALK12"/>
      <c r="ALL12"/>
      <c r="ALM12"/>
      <c r="ALN12"/>
      <c r="ALO12"/>
      <c r="ALP12"/>
      <c r="ALQ12"/>
      <c r="ALR12"/>
      <c r="ALS12"/>
      <c r="ALT12"/>
      <c r="ALU12"/>
      <c r="ALV12"/>
      <c r="ALW12"/>
      <c r="ALX12"/>
      <c r="ALY12"/>
      <c r="ALZ12"/>
      <c r="AMA12"/>
      <c r="AMB12"/>
      <c r="AMC12"/>
      <c r="AMD12"/>
      <c r="AME12"/>
      <c r="AMF12"/>
      <c r="AMG12"/>
      <c r="AMH12"/>
      <c r="AMI12"/>
      <c r="AMJ12"/>
      <c r="AMK12"/>
      <c r="AML12"/>
      <c r="AMM12"/>
      <c r="AMN12"/>
      <c r="AMO12"/>
      <c r="AMP12"/>
      <c r="AMQ12"/>
      <c r="AMR12"/>
      <c r="AMS12"/>
      <c r="AMT12"/>
      <c r="AMU12"/>
      <c r="AMV12"/>
      <c r="AMW12"/>
      <c r="AMX12"/>
      <c r="AMY12"/>
      <c r="AMZ12"/>
      <c r="ANA12"/>
      <c r="ANB12"/>
      <c r="ANC12"/>
      <c r="AND12"/>
      <c r="ANE12"/>
      <c r="ANF12"/>
      <c r="ANG12"/>
      <c r="ANH12"/>
      <c r="ANI12"/>
      <c r="ANJ12"/>
      <c r="ANK12"/>
      <c r="ANL12"/>
      <c r="ANM12"/>
      <c r="ANN12"/>
      <c r="ANO12"/>
      <c r="ANP12"/>
      <c r="ANQ12"/>
      <c r="ANR12"/>
      <c r="ANS12"/>
      <c r="ANT12"/>
      <c r="ANU12"/>
      <c r="ANV12"/>
      <c r="ANW12"/>
      <c r="ANX12"/>
      <c r="ANY12"/>
      <c r="ANZ12"/>
      <c r="AOA12"/>
      <c r="AOB12"/>
      <c r="AOC12"/>
      <c r="AOD12"/>
      <c r="AOE12"/>
      <c r="AOF12"/>
      <c r="AOG12"/>
      <c r="AOH12"/>
      <c r="AOI12"/>
      <c r="AOJ12"/>
      <c r="AOK12"/>
      <c r="AOL12"/>
      <c r="AOM12"/>
      <c r="AON12"/>
      <c r="AOO12"/>
      <c r="AOP12"/>
      <c r="AOQ12"/>
      <c r="AOR12"/>
      <c r="AOS12"/>
      <c r="AOT12"/>
      <c r="AOU12"/>
      <c r="AOV12"/>
      <c r="AOW12"/>
      <c r="AOX12"/>
      <c r="AOY12"/>
      <c r="AOZ12"/>
      <c r="APA12"/>
      <c r="APB12"/>
      <c r="APC12"/>
      <c r="APD12"/>
      <c r="APE12"/>
      <c r="APF12"/>
      <c r="APG12"/>
      <c r="APH12"/>
      <c r="API12"/>
      <c r="APJ12"/>
      <c r="APK12"/>
      <c r="APL12"/>
      <c r="APM12"/>
      <c r="APN12"/>
      <c r="APO12"/>
      <c r="APP12"/>
      <c r="APQ12"/>
      <c r="APR12"/>
      <c r="APS12"/>
      <c r="APT12"/>
      <c r="APU12"/>
      <c r="APV12"/>
      <c r="APW12"/>
      <c r="APX12"/>
      <c r="APY12"/>
      <c r="APZ12"/>
      <c r="AQA12"/>
      <c r="AQB12"/>
      <c r="AQC12"/>
      <c r="AQD12"/>
      <c r="AQE12"/>
      <c r="AQF12"/>
      <c r="AQG12"/>
      <c r="AQH12"/>
      <c r="AQI12"/>
      <c r="AQJ12"/>
      <c r="AQK12"/>
      <c r="AQL12"/>
      <c r="AQM12"/>
      <c r="AQN12"/>
      <c r="AQO12"/>
      <c r="AQP12"/>
      <c r="AQQ12"/>
      <c r="AQR12"/>
      <c r="AQS12"/>
      <c r="AQT12"/>
      <c r="AQU12"/>
      <c r="AQV12"/>
      <c r="AQW12"/>
      <c r="AQX12"/>
      <c r="AQY12"/>
      <c r="AQZ12"/>
      <c r="ARA12"/>
      <c r="ARB12"/>
      <c r="ARC12"/>
      <c r="ARD12"/>
      <c r="ARE12"/>
      <c r="ARF12"/>
      <c r="ARG12"/>
      <c r="ARH12"/>
      <c r="ARI12"/>
      <c r="ARJ12"/>
      <c r="ARK12"/>
      <c r="ARL12"/>
      <c r="ARM12"/>
      <c r="ARN12"/>
      <c r="ARO12"/>
      <c r="ARP12"/>
      <c r="ARQ12"/>
      <c r="ARR12"/>
      <c r="ARS12"/>
      <c r="ART12"/>
      <c r="ARU12"/>
      <c r="ARV12"/>
      <c r="ARW12"/>
      <c r="ARX12"/>
      <c r="ARY12"/>
      <c r="ARZ12"/>
      <c r="ASA12"/>
      <c r="ASB12"/>
      <c r="ASC12"/>
      <c r="ASD12"/>
      <c r="ASE12"/>
      <c r="ASF12"/>
      <c r="ASG12"/>
      <c r="ASH12"/>
      <c r="ASI12"/>
      <c r="ASJ12"/>
      <c r="ASK12"/>
      <c r="ASL12"/>
      <c r="ASM12"/>
      <c r="ASN12"/>
      <c r="ASO12"/>
      <c r="ASP12"/>
      <c r="ASQ12"/>
      <c r="ASR12"/>
      <c r="ASS12"/>
      <c r="AST12"/>
      <c r="ASU12"/>
      <c r="ASV12"/>
      <c r="ASW12"/>
      <c r="ASX12"/>
      <c r="ASY12"/>
      <c r="ASZ12"/>
      <c r="ATA12"/>
      <c r="ATB12"/>
      <c r="ATC12"/>
      <c r="ATD12"/>
      <c r="ATE12"/>
      <c r="ATF12"/>
      <c r="ATG12"/>
      <c r="ATH12"/>
      <c r="ATI12"/>
      <c r="ATJ12"/>
      <c r="ATK12"/>
      <c r="ATL12"/>
      <c r="ATM12"/>
      <c r="ATN12"/>
      <c r="ATO12"/>
      <c r="ATP12"/>
      <c r="ATQ12"/>
      <c r="ATR12"/>
      <c r="ATS12"/>
      <c r="ATT12"/>
      <c r="ATU12"/>
      <c r="ATV12"/>
      <c r="ATW12"/>
      <c r="ATX12"/>
      <c r="ATY12"/>
      <c r="ATZ12"/>
      <c r="AUA12"/>
      <c r="AUB12"/>
      <c r="AUC12"/>
      <c r="AUD12"/>
      <c r="AUE12"/>
      <c r="AUF12"/>
      <c r="AUG12"/>
      <c r="AUH12"/>
      <c r="AUI12"/>
      <c r="AUJ12"/>
      <c r="AUK12"/>
      <c r="AUL12"/>
      <c r="AUM12"/>
      <c r="AUN12"/>
      <c r="AUO12"/>
      <c r="AUP12"/>
      <c r="AUQ12"/>
      <c r="AUR12"/>
      <c r="AUS12"/>
      <c r="AUT12"/>
      <c r="AUU12"/>
      <c r="AUV12"/>
      <c r="AUW12"/>
      <c r="AUX12"/>
      <c r="AUY12"/>
      <c r="AUZ12"/>
      <c r="AVA12"/>
      <c r="AVB12"/>
      <c r="AVC12"/>
      <c r="AVD12"/>
      <c r="AVE12"/>
      <c r="AVF12"/>
      <c r="AVG12"/>
      <c r="AVH12"/>
      <c r="AVI12"/>
      <c r="AVJ12"/>
      <c r="AVK12"/>
      <c r="AVL12"/>
      <c r="AVM12"/>
      <c r="AVN12"/>
      <c r="AVO12"/>
      <c r="AVP12"/>
      <c r="AVQ12"/>
      <c r="AVR12"/>
      <c r="AVS12"/>
      <c r="AVT12"/>
      <c r="AVU12"/>
      <c r="AVV12"/>
      <c r="AVW12"/>
      <c r="AVX12"/>
      <c r="AVY12"/>
      <c r="AVZ12"/>
      <c r="AWA12"/>
      <c r="AWB12"/>
      <c r="AWC12"/>
      <c r="AWD12"/>
      <c r="AWE12"/>
      <c r="AWF12"/>
      <c r="AWG12"/>
      <c r="AWH12"/>
      <c r="AWI12"/>
      <c r="AWJ12"/>
      <c r="AWK12"/>
      <c r="AWL12"/>
      <c r="AWM12"/>
      <c r="AWN12"/>
      <c r="AWO12"/>
      <c r="AWP12"/>
      <c r="AWQ12"/>
      <c r="AWR12"/>
      <c r="AWS12"/>
      <c r="AWT12"/>
      <c r="AWU12"/>
      <c r="AWV12"/>
      <c r="AWW12"/>
      <c r="AWX12"/>
      <c r="AWY12"/>
      <c r="AWZ12"/>
      <c r="AXA12"/>
      <c r="AXB12"/>
      <c r="AXC12"/>
      <c r="AXD12"/>
      <c r="AXE12"/>
      <c r="AXF12"/>
      <c r="AXG12"/>
      <c r="AXH12"/>
      <c r="AXI12"/>
      <c r="AXJ12"/>
      <c r="AXK12"/>
      <c r="AXL12"/>
      <c r="AXM12"/>
      <c r="AXN12"/>
      <c r="AXO12"/>
      <c r="AXP12"/>
      <c r="AXQ12"/>
      <c r="AXR12"/>
      <c r="AXS12"/>
      <c r="AXT12"/>
      <c r="AXU12"/>
      <c r="AXV12"/>
      <c r="AXW12"/>
      <c r="AXX12"/>
      <c r="AXY12"/>
      <c r="AXZ12"/>
      <c r="AYA12"/>
      <c r="AYB12"/>
      <c r="AYC12"/>
      <c r="AYD12"/>
      <c r="AYE12"/>
      <c r="AYF12"/>
      <c r="AYG12"/>
      <c r="AYH12"/>
      <c r="AYI12"/>
      <c r="AYJ12"/>
      <c r="AYK12"/>
      <c r="AYL12"/>
      <c r="AYM12"/>
      <c r="AYN12"/>
      <c r="AYO12"/>
      <c r="AYP12"/>
      <c r="AYQ12"/>
      <c r="AYR12"/>
      <c r="AYS12"/>
      <c r="AYT12"/>
      <c r="AYU12"/>
      <c r="AYV12"/>
      <c r="AYW12"/>
      <c r="AYX12"/>
      <c r="AYY12"/>
      <c r="AYZ12"/>
      <c r="AZA12"/>
      <c r="AZB12"/>
      <c r="AZC12"/>
      <c r="AZD12"/>
      <c r="AZE12"/>
      <c r="AZF12"/>
      <c r="AZG12"/>
      <c r="AZH12"/>
      <c r="AZI12"/>
      <c r="AZJ12"/>
      <c r="AZK12"/>
      <c r="AZL12"/>
      <c r="AZM12"/>
      <c r="AZN12"/>
      <c r="AZO12"/>
      <c r="AZP12"/>
      <c r="AZQ12"/>
      <c r="AZR12"/>
      <c r="AZS12"/>
      <c r="AZT12"/>
      <c r="AZU12"/>
      <c r="AZV12"/>
      <c r="AZW12"/>
      <c r="AZX12"/>
      <c r="AZY12"/>
      <c r="AZZ12"/>
      <c r="BAA12"/>
      <c r="BAB12"/>
      <c r="BAC12"/>
      <c r="BAD12"/>
      <c r="BAE12"/>
      <c r="BAF12"/>
      <c r="BAG12"/>
      <c r="BAH12"/>
      <c r="BAI12"/>
      <c r="BAJ12"/>
      <c r="BAK12"/>
      <c r="BAL12"/>
      <c r="BAM12"/>
      <c r="BAN12"/>
      <c r="BAO12"/>
      <c r="BAP12"/>
      <c r="BAQ12"/>
      <c r="BAR12"/>
      <c r="BAS12"/>
      <c r="BAT12"/>
      <c r="BAU12"/>
      <c r="BAV12"/>
      <c r="BAW12"/>
      <c r="BAX12"/>
      <c r="BAY12"/>
      <c r="BAZ12"/>
      <c r="BBA12"/>
      <c r="BBB12"/>
      <c r="BBC12"/>
      <c r="BBD12"/>
      <c r="BBE12"/>
      <c r="BBF12"/>
      <c r="BBG12"/>
      <c r="BBH12"/>
      <c r="BBI12"/>
      <c r="BBJ12"/>
      <c r="BBK12"/>
      <c r="BBL12"/>
      <c r="BBM12"/>
      <c r="BBN12"/>
      <c r="BBO12"/>
      <c r="BBP12"/>
      <c r="BBQ12"/>
      <c r="BBR12"/>
      <c r="BBS12"/>
      <c r="BBT12"/>
      <c r="BBU12"/>
      <c r="BBV12"/>
      <c r="BBW12"/>
      <c r="BBX12"/>
      <c r="BBY12"/>
      <c r="BBZ12"/>
      <c r="BCA12"/>
      <c r="BCB12"/>
      <c r="BCC12"/>
      <c r="BCD12"/>
      <c r="BCE12"/>
      <c r="BCF12"/>
      <c r="BCG12"/>
      <c r="BCH12"/>
      <c r="BCI12"/>
      <c r="BCJ12"/>
      <c r="BCK12"/>
      <c r="BCL12"/>
      <c r="BCM12"/>
      <c r="BCN12"/>
      <c r="BCO12"/>
      <c r="BCP12"/>
      <c r="BCQ12"/>
      <c r="BCR12"/>
      <c r="BCS12"/>
      <c r="BCT12"/>
      <c r="BCU12"/>
      <c r="BCV12"/>
      <c r="BCW12"/>
      <c r="BCX12"/>
      <c r="BCY12"/>
    </row>
    <row r="13" spans="1:1455" x14ac:dyDescent="0.3">
      <c r="A13" s="5" t="s">
        <v>25</v>
      </c>
      <c r="B13" s="5" t="s">
        <v>31</v>
      </c>
      <c r="C13" s="5" t="s">
        <v>32</v>
      </c>
      <c r="D13" s="1">
        <v>125</v>
      </c>
      <c r="E13" s="1">
        <v>46.6</v>
      </c>
      <c r="F13" s="4">
        <v>45876</v>
      </c>
      <c r="G13" s="2">
        <v>65.239999999999995</v>
      </c>
      <c r="H13" s="1">
        <v>0</v>
      </c>
      <c r="I13" s="4"/>
      <c r="J13" s="1"/>
      <c r="K13" s="1">
        <f t="shared" ref="K13:K18" si="0">(((H13*D13)-(E13*D13))-(G13+J13))</f>
        <v>-5890.24</v>
      </c>
      <c r="L13" s="1">
        <f>(L12-((D13*E13)+G13))</f>
        <v>7046.68</v>
      </c>
      <c r="M13" s="1"/>
      <c r="N13" s="1"/>
    </row>
    <row r="14" spans="1:1455" x14ac:dyDescent="0.3">
      <c r="A14" s="15" t="s">
        <v>25</v>
      </c>
      <c r="B14" s="15" t="s">
        <v>33</v>
      </c>
      <c r="C14" s="15" t="s">
        <v>34</v>
      </c>
      <c r="D14" s="17">
        <v>200</v>
      </c>
      <c r="E14" s="17">
        <v>30.1</v>
      </c>
      <c r="F14" s="18">
        <v>45876</v>
      </c>
      <c r="G14" s="19">
        <v>67.42</v>
      </c>
      <c r="H14" s="17">
        <v>31.1</v>
      </c>
      <c r="I14" s="18"/>
      <c r="J14" s="17">
        <v>69.66</v>
      </c>
      <c r="K14" s="17">
        <f t="shared" si="0"/>
        <v>62.920000000000016</v>
      </c>
      <c r="L14" s="17">
        <f>(L13-((D14*E14)+G14))</f>
        <v>959.26000000000022</v>
      </c>
      <c r="M14" s="17">
        <v>6150.34</v>
      </c>
      <c r="N14" s="17" t="s">
        <v>47</v>
      </c>
    </row>
    <row r="15" spans="1:1455" x14ac:dyDescent="0.3">
      <c r="A15" s="5" t="s">
        <v>25</v>
      </c>
      <c r="B15" s="5" t="s">
        <v>50</v>
      </c>
      <c r="C15" s="5" t="s">
        <v>51</v>
      </c>
      <c r="D15" s="1">
        <v>50</v>
      </c>
      <c r="E15" s="1">
        <v>125.75</v>
      </c>
      <c r="F15" s="24" t="s">
        <v>52</v>
      </c>
      <c r="G15" s="2">
        <v>70.42</v>
      </c>
      <c r="H15" s="1">
        <v>0</v>
      </c>
      <c r="I15" s="4"/>
      <c r="J15" s="1"/>
      <c r="K15" s="1">
        <f t="shared" si="0"/>
        <v>-6357.92</v>
      </c>
      <c r="L15" s="2">
        <f>(D34+K15)</f>
        <v>22207.58</v>
      </c>
      <c r="M15" s="1"/>
      <c r="N15" s="1"/>
    </row>
    <row r="16" spans="1:1455" x14ac:dyDescent="0.3">
      <c r="A16" s="5" t="s">
        <v>25</v>
      </c>
      <c r="B16" s="5" t="s">
        <v>53</v>
      </c>
      <c r="C16" s="5" t="s">
        <v>54</v>
      </c>
      <c r="D16" s="1">
        <v>500</v>
      </c>
      <c r="E16" s="1">
        <v>25.9</v>
      </c>
      <c r="F16" s="24" t="s">
        <v>52</v>
      </c>
      <c r="G16" s="2">
        <v>145.04</v>
      </c>
      <c r="H16" s="1">
        <v>0</v>
      </c>
      <c r="I16" s="4"/>
      <c r="J16" s="1"/>
      <c r="K16" s="1">
        <f t="shared" si="0"/>
        <v>-13095.04</v>
      </c>
      <c r="L16" s="1">
        <f>(L15+K16)</f>
        <v>9112.5400000000009</v>
      </c>
      <c r="M16" s="1"/>
      <c r="N16" s="1"/>
    </row>
    <row r="17" spans="1:14" x14ac:dyDescent="0.3">
      <c r="A17" s="15" t="s">
        <v>25</v>
      </c>
      <c r="B17" s="15" t="s">
        <v>55</v>
      </c>
      <c r="C17" s="15" t="s">
        <v>56</v>
      </c>
      <c r="D17" s="17">
        <v>250</v>
      </c>
      <c r="E17" s="17">
        <v>31.7</v>
      </c>
      <c r="F17" s="26" t="s">
        <v>52</v>
      </c>
      <c r="G17" s="19">
        <v>88.76</v>
      </c>
      <c r="H17" s="17">
        <v>36.5</v>
      </c>
      <c r="I17" s="18"/>
      <c r="J17" s="17">
        <v>102.2</v>
      </c>
      <c r="K17" s="17">
        <f t="shared" si="0"/>
        <v>1009.04</v>
      </c>
      <c r="L17" s="17">
        <f>(L16+K17)</f>
        <v>10121.580000000002</v>
      </c>
      <c r="M17" s="17">
        <v>9022.7999999999993</v>
      </c>
      <c r="N17" s="17" t="s">
        <v>47</v>
      </c>
    </row>
    <row r="18" spans="1:14" x14ac:dyDescent="0.3">
      <c r="A18" s="5" t="s">
        <v>25</v>
      </c>
      <c r="B18" s="5" t="s">
        <v>62</v>
      </c>
      <c r="C18" s="5" t="s">
        <v>63</v>
      </c>
      <c r="D18" s="1">
        <v>1250</v>
      </c>
      <c r="E18" s="1">
        <v>7.9</v>
      </c>
      <c r="F18" s="24" t="s">
        <v>60</v>
      </c>
      <c r="G18" s="2">
        <v>110.6</v>
      </c>
      <c r="H18" s="1"/>
      <c r="I18" s="4"/>
      <c r="J18" s="1"/>
      <c r="K18" s="1">
        <f t="shared" si="0"/>
        <v>-9985.6</v>
      </c>
      <c r="L18" s="1">
        <f>(L17+K18)</f>
        <v>135.98000000000138</v>
      </c>
      <c r="M18" s="1"/>
      <c r="N18" s="1"/>
    </row>
    <row r="19" spans="1:14" x14ac:dyDescent="0.3">
      <c r="A19" s="31" t="s">
        <v>25</v>
      </c>
      <c r="B19" s="31" t="s">
        <v>68</v>
      </c>
      <c r="C19" s="31" t="s">
        <v>71</v>
      </c>
      <c r="D19" s="32">
        <v>150</v>
      </c>
      <c r="E19" s="32">
        <v>47.8</v>
      </c>
      <c r="F19" s="33">
        <v>45785</v>
      </c>
      <c r="G19" s="34">
        <v>80.3</v>
      </c>
      <c r="H19" s="32"/>
      <c r="I19" s="33"/>
      <c r="J19" s="32"/>
      <c r="K19" s="32">
        <f>(((H19*D19)-(E19*D19))-(G19+J19))</f>
        <v>-7250.3</v>
      </c>
      <c r="L19" s="2">
        <v>6536.02</v>
      </c>
      <c r="M19" s="32"/>
      <c r="N19" s="32"/>
    </row>
    <row r="20" spans="1:14" s="1" customFormat="1" x14ac:dyDescent="0.3">
      <c r="A20" s="5" t="s">
        <v>11</v>
      </c>
      <c r="B20" s="5" t="s">
        <v>68</v>
      </c>
      <c r="C20" s="5" t="s">
        <v>71</v>
      </c>
      <c r="D20" s="1">
        <v>100</v>
      </c>
      <c r="E20" s="1">
        <v>47.5</v>
      </c>
      <c r="F20" s="4">
        <v>45785</v>
      </c>
      <c r="G20" s="2">
        <v>53.2</v>
      </c>
      <c r="K20" s="1">
        <f>(((H20*D20)-(E20*D20))-(G20+J20))</f>
        <v>-4803.2</v>
      </c>
      <c r="L20" s="1">
        <v>1732.82</v>
      </c>
    </row>
    <row r="21" spans="1:14" x14ac:dyDescent="0.3">
      <c r="A21" s="9"/>
      <c r="B21" s="9"/>
      <c r="C21" s="9"/>
      <c r="F21" s="30"/>
    </row>
    <row r="22" spans="1:14" x14ac:dyDescent="0.3">
      <c r="A22" s="9"/>
      <c r="B22" s="9"/>
      <c r="C22" s="9"/>
      <c r="F22" s="30"/>
    </row>
    <row r="23" spans="1:14" x14ac:dyDescent="0.3">
      <c r="A23" s="9"/>
      <c r="B23" s="9"/>
      <c r="C23" s="9"/>
      <c r="F23" s="30"/>
    </row>
    <row r="24" spans="1:14" x14ac:dyDescent="0.3">
      <c r="A24" s="9"/>
      <c r="B24" s="9"/>
      <c r="C24" s="9"/>
      <c r="F24" s="30"/>
    </row>
    <row r="25" spans="1:14" x14ac:dyDescent="0.3">
      <c r="A25" s="9"/>
      <c r="B25" s="9"/>
      <c r="C25" s="9"/>
      <c r="F25" s="30"/>
    </row>
    <row r="26" spans="1:14" x14ac:dyDescent="0.3">
      <c r="A26" s="9"/>
      <c r="B26" s="9"/>
      <c r="C26" s="9"/>
      <c r="F26" s="30"/>
    </row>
    <row r="27" spans="1:14" x14ac:dyDescent="0.3">
      <c r="A27" s="9"/>
      <c r="B27" s="9"/>
      <c r="C27" s="9"/>
      <c r="F27" s="30"/>
    </row>
    <row r="28" spans="1:14" x14ac:dyDescent="0.3">
      <c r="A28" s="9"/>
      <c r="B28" s="9"/>
      <c r="C28" s="9"/>
      <c r="F28" s="30"/>
    </row>
    <row r="29" spans="1:14" x14ac:dyDescent="0.3">
      <c r="A29" s="9"/>
      <c r="B29" s="9"/>
      <c r="C29" s="9"/>
      <c r="F29" s="30"/>
    </row>
    <row r="31" spans="1:14" x14ac:dyDescent="0.3">
      <c r="A31" s="44" t="s">
        <v>45</v>
      </c>
      <c r="B31" s="44"/>
      <c r="C31" s="44"/>
      <c r="D31" s="44"/>
      <c r="E31" s="11"/>
    </row>
    <row r="32" spans="1:14" ht="28.8" x14ac:dyDescent="0.3">
      <c r="A32" s="12" t="s">
        <v>41</v>
      </c>
      <c r="B32" s="12" t="s">
        <v>37</v>
      </c>
      <c r="C32" s="12" t="s">
        <v>42</v>
      </c>
      <c r="D32" s="13" t="s">
        <v>40</v>
      </c>
      <c r="E32" s="14" t="s">
        <v>39</v>
      </c>
      <c r="G32" s="3" t="s">
        <v>48</v>
      </c>
      <c r="H32">
        <v>27500</v>
      </c>
      <c r="I32" t="s">
        <v>49</v>
      </c>
      <c r="J32" s="30">
        <v>45785</v>
      </c>
    </row>
    <row r="33" spans="1:5" ht="54.6" customHeight="1" x14ac:dyDescent="0.3">
      <c r="A33" s="2">
        <v>10500</v>
      </c>
      <c r="B33" s="4">
        <v>45968</v>
      </c>
      <c r="C33" s="1" t="s">
        <v>38</v>
      </c>
      <c r="D33" s="1">
        <v>11459.26</v>
      </c>
      <c r="E33" s="10" t="s">
        <v>43</v>
      </c>
    </row>
    <row r="34" spans="1:5" ht="54.6" customHeight="1" x14ac:dyDescent="0.3">
      <c r="A34" s="2">
        <v>17106.240000000002</v>
      </c>
      <c r="B34" s="4">
        <v>45968</v>
      </c>
      <c r="C34" s="1" t="s">
        <v>23</v>
      </c>
      <c r="D34" s="2">
        <f t="shared" ref="D34:D43" si="1">(D33+A34)</f>
        <v>28565.5</v>
      </c>
      <c r="E34" s="10" t="s">
        <v>44</v>
      </c>
    </row>
    <row r="35" spans="1:5" ht="54.6" customHeight="1" x14ac:dyDescent="0.3">
      <c r="A35" s="1">
        <v>-6357.92</v>
      </c>
      <c r="B35" s="25" t="s">
        <v>52</v>
      </c>
      <c r="C35" s="1" t="s">
        <v>50</v>
      </c>
      <c r="D35" s="2">
        <f t="shared" si="1"/>
        <v>22207.58</v>
      </c>
      <c r="E35" s="10" t="s">
        <v>57</v>
      </c>
    </row>
    <row r="36" spans="1:5" ht="54.6" customHeight="1" x14ac:dyDescent="0.3">
      <c r="A36" s="1">
        <v>-13095.04</v>
      </c>
      <c r="B36" s="25" t="s">
        <v>52</v>
      </c>
      <c r="C36" s="1" t="s">
        <v>53</v>
      </c>
      <c r="D36" s="2">
        <f t="shared" si="1"/>
        <v>9112.5400000000009</v>
      </c>
      <c r="E36" s="10" t="s">
        <v>58</v>
      </c>
    </row>
    <row r="37" spans="1:5" ht="54.6" customHeight="1" x14ac:dyDescent="0.3">
      <c r="A37" s="1">
        <v>-8013.76</v>
      </c>
      <c r="B37" s="25" t="s">
        <v>52</v>
      </c>
      <c r="C37" s="1" t="s">
        <v>55</v>
      </c>
      <c r="D37" s="2">
        <f t="shared" si="1"/>
        <v>1098.7800000000007</v>
      </c>
      <c r="E37" s="10" t="s">
        <v>59</v>
      </c>
    </row>
    <row r="38" spans="1:5" ht="54.6" customHeight="1" x14ac:dyDescent="0.3">
      <c r="A38" s="1">
        <v>9022.7999999999993</v>
      </c>
      <c r="B38" s="25" t="s">
        <v>60</v>
      </c>
      <c r="C38" s="1" t="s">
        <v>55</v>
      </c>
      <c r="D38" s="2">
        <f t="shared" si="1"/>
        <v>10121.58</v>
      </c>
      <c r="E38" s="10" t="s">
        <v>61</v>
      </c>
    </row>
    <row r="39" spans="1:5" ht="54.6" customHeight="1" x14ac:dyDescent="0.3">
      <c r="A39" s="1">
        <v>-9985.6</v>
      </c>
      <c r="B39" s="25" t="s">
        <v>60</v>
      </c>
      <c r="C39" s="1" t="s">
        <v>64</v>
      </c>
      <c r="D39" s="2">
        <f t="shared" si="1"/>
        <v>135.97999999999956</v>
      </c>
      <c r="E39" s="10" t="s">
        <v>65</v>
      </c>
    </row>
    <row r="40" spans="1:5" ht="54.6" customHeight="1" x14ac:dyDescent="0.3">
      <c r="A40" s="1">
        <v>6150.34</v>
      </c>
      <c r="B40" s="4">
        <v>45785</v>
      </c>
      <c r="C40" s="1" t="s">
        <v>33</v>
      </c>
      <c r="D40" s="2">
        <f t="shared" si="1"/>
        <v>6286.32</v>
      </c>
      <c r="E40" s="10" t="s">
        <v>66</v>
      </c>
    </row>
    <row r="41" spans="1:5" ht="54.6" customHeight="1" x14ac:dyDescent="0.3">
      <c r="A41" s="1">
        <v>7500</v>
      </c>
      <c r="B41" s="4">
        <v>45785</v>
      </c>
      <c r="C41" s="1" t="s">
        <v>38</v>
      </c>
      <c r="D41" s="2">
        <f t="shared" si="1"/>
        <v>13786.32</v>
      </c>
      <c r="E41" s="10" t="s">
        <v>67</v>
      </c>
    </row>
    <row r="42" spans="1:5" ht="54.6" customHeight="1" x14ac:dyDescent="0.3">
      <c r="A42" s="1">
        <v>-7250.3</v>
      </c>
      <c r="B42" s="4">
        <v>45785</v>
      </c>
      <c r="C42" s="1" t="s">
        <v>68</v>
      </c>
      <c r="D42" s="2">
        <f t="shared" si="1"/>
        <v>6536.0199999999995</v>
      </c>
      <c r="E42" s="1" t="s">
        <v>69</v>
      </c>
    </row>
    <row r="43" spans="1:5" ht="54.6" customHeight="1" x14ac:dyDescent="0.3">
      <c r="A43" s="1">
        <v>-4803.2</v>
      </c>
      <c r="B43" s="4">
        <v>45785</v>
      </c>
      <c r="C43" s="1" t="s">
        <v>68</v>
      </c>
      <c r="D43" s="2">
        <f t="shared" si="1"/>
        <v>1732.8199999999997</v>
      </c>
      <c r="E43" s="1" t="s">
        <v>70</v>
      </c>
    </row>
    <row r="44" spans="1:5" ht="54.6" customHeight="1" x14ac:dyDescent="0.3">
      <c r="A44" s="1"/>
      <c r="B44" s="1"/>
      <c r="C44" s="1"/>
      <c r="D44" s="1"/>
      <c r="E44" s="1"/>
    </row>
    <row r="46" spans="1:5" x14ac:dyDescent="0.3">
      <c r="C46" t="s">
        <v>73</v>
      </c>
      <c r="D46" s="45">
        <v>9900000</v>
      </c>
    </row>
    <row r="47" spans="1:5" x14ac:dyDescent="0.3">
      <c r="B47" t="s">
        <v>2</v>
      </c>
      <c r="C47" t="s">
        <v>75</v>
      </c>
    </row>
    <row r="48" spans="1:5" x14ac:dyDescent="0.3">
      <c r="A48" t="s">
        <v>74</v>
      </c>
      <c r="B48" s="45">
        <v>5000</v>
      </c>
      <c r="C48" s="46" t="s">
        <v>76</v>
      </c>
    </row>
    <row r="49" spans="2:3" x14ac:dyDescent="0.3">
      <c r="B49" s="45">
        <v>54000</v>
      </c>
      <c r="C49" s="47" t="s">
        <v>77</v>
      </c>
    </row>
    <row r="50" spans="2:3" x14ac:dyDescent="0.3">
      <c r="B50" s="45">
        <v>940000</v>
      </c>
      <c r="C50" s="47" t="s">
        <v>78</v>
      </c>
    </row>
    <row r="51" spans="2:3" x14ac:dyDescent="0.3">
      <c r="B51" s="45"/>
      <c r="C51" s="47"/>
    </row>
  </sheetData>
  <mergeCells count="4">
    <mergeCell ref="A10:K10"/>
    <mergeCell ref="A1:J1"/>
    <mergeCell ref="M10:N10"/>
    <mergeCell ref="A31:D3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Dinuk Pathiraja</dc:creator>
  <cp:lastModifiedBy>Dinuk Pathiraja</cp:lastModifiedBy>
  <dcterms:created xsi:type="dcterms:W3CDTF">2025-07-02T14:57:53Z</dcterms:created>
  <dcterms:modified xsi:type="dcterms:W3CDTF">2026-02-19T18:16:13Z</dcterms:modified>
</cp:coreProperties>
</file>
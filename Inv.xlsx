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nuk\"/>
    </mc:Choice>
  </mc:AlternateContent>
  <xr:revisionPtr revIDLastSave="0" documentId="13_ncr:1_{292CCF50-7C7E-4E24-89D7-9ADF8539F95E}" xr6:coauthVersionLast="47" xr6:coauthVersionMax="47" xr10:uidLastSave="{00000000-0000-0000-0000-000000000000}"/>
  <bookViews>
    <workbookView xWindow="-108" yWindow="-108" windowWidth="23256" windowHeight="12456" xr2:uid="{72DAA1D2-9D2F-48D1-9E66-1118664FF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H7" i="1"/>
  <c r="K18" i="1"/>
  <c r="K14" i="1"/>
  <c r="K17" i="1"/>
  <c r="K16" i="1"/>
  <c r="K13" i="1"/>
  <c r="K15" i="1"/>
  <c r="D34" i="1"/>
  <c r="D35" i="1" s="1"/>
  <c r="D36" i="1" s="1"/>
  <c r="D37" i="1" s="1"/>
  <c r="D38" i="1" s="1"/>
  <c r="D39" i="1" s="1"/>
  <c r="D40" i="1" s="1"/>
  <c r="D41" i="1" s="1"/>
  <c r="D42" i="1" s="1"/>
  <c r="D43" i="1" s="1"/>
  <c r="M12" i="1"/>
  <c r="K12" i="1"/>
  <c r="L13" i="1"/>
  <c r="L14" i="1" s="1"/>
  <c r="H6" i="1"/>
  <c r="H5" i="1"/>
  <c r="H4" i="1"/>
  <c r="H3" i="1"/>
  <c r="L15" i="1" l="1"/>
  <c r="L16" i="1" s="1"/>
  <c r="L17" i="1" s="1"/>
  <c r="L18" i="1" s="1"/>
</calcChain>
</file>

<file path=xl/sharedStrings.xml><?xml version="1.0" encoding="utf-8"?>
<sst xmlns="http://schemas.openxmlformats.org/spreadsheetml/2006/main" count="113" uniqueCount="73">
  <si>
    <t>Where</t>
  </si>
  <si>
    <t>Type</t>
  </si>
  <si>
    <t>Amount</t>
  </si>
  <si>
    <t>Interest</t>
  </si>
  <si>
    <t>Profit/Loss</t>
  </si>
  <si>
    <t>Info</t>
  </si>
  <si>
    <t>Genie</t>
  </si>
  <si>
    <t>Joint</t>
  </si>
  <si>
    <t>Personal</t>
  </si>
  <si>
    <t>Period(Months)</t>
  </si>
  <si>
    <t>FD</t>
  </si>
  <si>
    <t xml:space="preserve">CAL </t>
  </si>
  <si>
    <t>Fixed Income Opportunities</t>
  </si>
  <si>
    <t>Unit Trust</t>
  </si>
  <si>
    <t>Investment Grade Fund</t>
  </si>
  <si>
    <t>Equity</t>
  </si>
  <si>
    <t>Company</t>
  </si>
  <si>
    <t>Bought Price</t>
  </si>
  <si>
    <t>Sold Price</t>
  </si>
  <si>
    <t>Bought Date</t>
  </si>
  <si>
    <t>Sold Date</t>
  </si>
  <si>
    <t>Code</t>
  </si>
  <si>
    <t>Investments</t>
  </si>
  <si>
    <t>HNB</t>
  </si>
  <si>
    <t>HNB.N</t>
  </si>
  <si>
    <t>CAL</t>
  </si>
  <si>
    <t>Maturity Date</t>
  </si>
  <si>
    <t>No</t>
  </si>
  <si>
    <t>Units</t>
  </si>
  <si>
    <t>Sold Commision</t>
  </si>
  <si>
    <t>Bought Commision</t>
  </si>
  <si>
    <t>HAYLEYS FABRIC</t>
  </si>
  <si>
    <t>MGT.N</t>
  </si>
  <si>
    <t>HEMAS</t>
  </si>
  <si>
    <t>HHL.N</t>
  </si>
  <si>
    <t>Remaining After Bought</t>
  </si>
  <si>
    <t>Added After Sold</t>
  </si>
  <si>
    <t>Date</t>
  </si>
  <si>
    <t>BOC</t>
  </si>
  <si>
    <t>Comment</t>
  </si>
  <si>
    <t>Remaning Amount For The Date</t>
  </si>
  <si>
    <t>Payin/Payout</t>
  </si>
  <si>
    <t>Bank/Stocks</t>
  </si>
  <si>
    <t>Added from the Bank</t>
  </si>
  <si>
    <t>Sold HNB for profit of 332.96</t>
  </si>
  <si>
    <t>Balance of Equity</t>
  </si>
  <si>
    <t>Added to Equity</t>
  </si>
  <si>
    <t>Sold</t>
  </si>
  <si>
    <t xml:space="preserve">Extra </t>
  </si>
  <si>
    <t>From Didi</t>
  </si>
  <si>
    <t>NDB</t>
  </si>
  <si>
    <t>NDB.N</t>
  </si>
  <si>
    <t>15/7/2025</t>
  </si>
  <si>
    <t>JOHN KEELS</t>
  </si>
  <si>
    <t>JKH.N</t>
  </si>
  <si>
    <t>OVERSEAS REALITY</t>
  </si>
  <si>
    <t>OSEA.N</t>
  </si>
  <si>
    <t>Bought NDB at 125.75 rupees 50 units</t>
  </si>
  <si>
    <t>Bought JKH.N at 25.9 rupees 500 units</t>
  </si>
  <si>
    <t>Bought OSEA.N at 31.7 rupees 250 units</t>
  </si>
  <si>
    <t>25/7/2025</t>
  </si>
  <si>
    <t>Sold OSEA.N for 36.5 units 250</t>
  </si>
  <si>
    <t>Browns</t>
  </si>
  <si>
    <t>BIL.N</t>
  </si>
  <si>
    <t>BROWNS</t>
  </si>
  <si>
    <t>Bought Browns at 7.9 units 1250</t>
  </si>
  <si>
    <t>Sold Hemas at 31.1 units 200</t>
  </si>
  <si>
    <t>Added my money + didi money(10000) but here added only 5000</t>
  </si>
  <si>
    <t>Teejay Lanka</t>
  </si>
  <si>
    <t>Bought Teejay at 47.8 units 150</t>
  </si>
  <si>
    <t>Bought Teejay at 47.5 units 100</t>
  </si>
  <si>
    <t>TJL.N</t>
  </si>
  <si>
    <t>Matured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</si>
</sst>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/>
    <xf numFmtId="14" fontId="0" fillId="5" borderId="1" xfId="0" applyNumberFormat="1" applyFill="1" applyBorder="1"/>
    <xf numFmtId="2" fontId="0" fillId="5" borderId="1" xfId="0" applyNumberFormat="1" applyFill="1" applyBorder="1"/>
    <xf numFmtId="0" fontId="0" fillId="5" borderId="3" xfId="0" applyFill="1" applyBorder="1"/>
    <xf numFmtId="0" fontId="0" fillId="5" borderId="0" xfId="0" applyFill="1"/>
    <xf numFmtId="0" fontId="0" fillId="6" borderId="0" xfId="0" applyFill="1"/>
    <xf numFmtId="0" fontId="0" fillId="2" borderId="0" xfId="0" applyFill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4" fontId="0" fillId="5" borderId="1" xfId="0" applyNumberFormat="1" applyFill="1" applyBorder="1" applyAlignment="1">
      <alignment horizontal="right"/>
    </xf>
    <xf numFmtId="0" fontId="0" fillId="6" borderId="4" xfId="0" applyFill="1" applyBorder="1"/>
    <xf numFmtId="2" fontId="0" fillId="6" borderId="4" xfId="0" applyNumberFormat="1" applyFill="1" applyBorder="1"/>
    <xf numFmtId="14" fontId="0" fillId="6" borderId="4" xfId="0" applyNumberFormat="1" applyFill="1" applyBorder="1"/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14" fontId="0" fillId="0" borderId="4" xfId="0" applyNumberFormat="1" applyBorder="1"/>
    <xf numFmtId="2" fontId="0" fillId="0" borderId="4" xfId="0" applyNumberFormat="1" applyBorder="1"/>
    <xf numFmtId="0" fontId="1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6" borderId="1" xfId="0" applyFill="1" applyBorder="1"/>
    <xf numFmtId="2" fontId="0" fillId="6" borderId="1" xfId="0" applyNumberFormat="1" applyFill="1" applyBorder="1"/>
    <xf numFmtId="14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2A58-A0C2-4CFD-A939-076BF73C65B0}">
  <dimension ref="A1:BCY44"/>
  <sheetViews>
    <sheetView tabSelected="1" topLeftCell="A27" zoomScale="75" workbookViewId="0">
      <selection activeCell="F22" sqref="F22"/>
    </sheetView>
  </sheetViews>
  <sheetFormatPr defaultRowHeight="14.4" x14ac:dyDescent="0.3"/>
  <cols>
    <col min="1" max="1" width="12.77734375" customWidth="1"/>
    <col min="2" max="3" width="28.6640625" customWidth="1"/>
    <col min="4" max="4" width="24.109375" customWidth="1"/>
    <col min="5" max="5" width="25.44140625" customWidth="1"/>
    <col min="6" max="6" width="13.6640625" style="3" customWidth="1"/>
    <col min="7" max="7" width="16.21875" style="3" customWidth="1"/>
    <col min="8" max="9" width="14.33203125" customWidth="1"/>
    <col min="10" max="10" width="20.77734375" customWidth="1"/>
    <col min="11" max="11" width="16.77734375" customWidth="1"/>
    <col min="12" max="12" width="20.109375" customWidth="1"/>
    <col min="13" max="13" width="27.5546875" customWidth="1"/>
    <col min="14" max="14" width="27.44140625" customWidth="1"/>
    <col min="15" max="15" width="62.6640625" customWidth="1"/>
  </cols>
  <sheetData>
    <row r="1" spans="1:1455" ht="49.2" customHeight="1" x14ac:dyDescent="0.3">
      <c r="A1" s="38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7"/>
      <c r="L1" s="23"/>
    </row>
    <row r="2" spans="1:1455" x14ac:dyDescent="0.3">
      <c r="A2" s="1" t="s">
        <v>0</v>
      </c>
      <c r="B2" s="1" t="s">
        <v>1</v>
      </c>
      <c r="C2" s="1"/>
      <c r="D2" s="1" t="s">
        <v>2</v>
      </c>
      <c r="E2" s="1" t="s">
        <v>3</v>
      </c>
      <c r="F2" s="2" t="s">
        <v>9</v>
      </c>
      <c r="G2" s="2"/>
      <c r="H2" s="1" t="s">
        <v>4</v>
      </c>
      <c r="I2" s="1"/>
      <c r="J2" s="1" t="s">
        <v>5</v>
      </c>
      <c r="K2" s="1" t="s">
        <v>26</v>
      </c>
      <c r="L2" s="1" t="s">
        <v>39</v>
      </c>
    </row>
    <row r="3" spans="1:1455" x14ac:dyDescent="0.3">
      <c r="A3" s="1" t="s">
        <v>6</v>
      </c>
      <c r="B3" s="1" t="s">
        <v>7</v>
      </c>
      <c r="C3" s="1"/>
      <c r="D3" s="1">
        <v>100000</v>
      </c>
      <c r="E3" s="1">
        <v>9.75</v>
      </c>
      <c r="F3" s="2">
        <v>12</v>
      </c>
      <c r="G3" s="2"/>
      <c r="H3" s="1">
        <f>((D3*E3)*F3)/(12*100)</f>
        <v>9750</v>
      </c>
      <c r="I3" s="1"/>
      <c r="J3" s="1" t="s">
        <v>10</v>
      </c>
      <c r="K3" s="4">
        <v>46026</v>
      </c>
      <c r="L3" s="1"/>
    </row>
    <row r="4" spans="1:1455" s="22" customFormat="1" x14ac:dyDescent="0.3">
      <c r="A4" s="42" t="s">
        <v>6</v>
      </c>
      <c r="B4" s="42" t="s">
        <v>8</v>
      </c>
      <c r="C4" s="42"/>
      <c r="D4" s="42">
        <v>415000</v>
      </c>
      <c r="E4" s="42">
        <v>6</v>
      </c>
      <c r="F4" s="43">
        <v>1</v>
      </c>
      <c r="G4" s="43"/>
      <c r="H4" s="42">
        <f>((D4*E4)*F4)/(12*100)</f>
        <v>2075</v>
      </c>
      <c r="I4" s="42"/>
      <c r="J4" s="42" t="s">
        <v>10</v>
      </c>
      <c r="K4" s="44">
        <v>46791</v>
      </c>
      <c r="L4" s="42" t="s">
        <v>72</v>
      </c>
    </row>
    <row r="5" spans="1:1455" x14ac:dyDescent="0.3">
      <c r="A5" s="1" t="s">
        <v>11</v>
      </c>
      <c r="B5" s="1" t="s">
        <v>12</v>
      </c>
      <c r="C5" s="1"/>
      <c r="D5" s="1">
        <v>76353.13</v>
      </c>
      <c r="E5" s="1">
        <v>9.16</v>
      </c>
      <c r="F5" s="2">
        <v>3.3333333333333333E-2</v>
      </c>
      <c r="G5" s="2"/>
      <c r="H5" s="1">
        <f>((D5*E5)*F5)/(12*100)</f>
        <v>19.427629744444445</v>
      </c>
      <c r="I5" s="1"/>
      <c r="J5" s="1" t="s">
        <v>13</v>
      </c>
      <c r="K5" s="4" t="s">
        <v>27</v>
      </c>
      <c r="L5" s="1"/>
    </row>
    <row r="6" spans="1:1455" s="22" customFormat="1" x14ac:dyDescent="0.3">
      <c r="A6" s="27" t="s">
        <v>11</v>
      </c>
      <c r="B6" s="27" t="s">
        <v>14</v>
      </c>
      <c r="C6" s="27"/>
      <c r="D6" s="27">
        <v>10316.58</v>
      </c>
      <c r="E6" s="27">
        <v>8.69</v>
      </c>
      <c r="F6" s="28">
        <v>0.03</v>
      </c>
      <c r="G6" s="28"/>
      <c r="H6" s="27">
        <f>((D6*E6)*F6)/(12*100)</f>
        <v>2.2412770049999997</v>
      </c>
      <c r="I6" s="27"/>
      <c r="J6" s="27" t="s">
        <v>13</v>
      </c>
      <c r="K6" s="29" t="s">
        <v>27</v>
      </c>
      <c r="L6" s="27" t="s">
        <v>46</v>
      </c>
    </row>
    <row r="7" spans="1:1455" s="1" customFormat="1" x14ac:dyDescent="0.3">
      <c r="A7" s="1" t="s">
        <v>11</v>
      </c>
      <c r="B7" s="1" t="s">
        <v>12</v>
      </c>
      <c r="D7" s="1">
        <v>7500</v>
      </c>
      <c r="E7" s="1">
        <v>9.16</v>
      </c>
      <c r="F7" s="2">
        <v>0.03</v>
      </c>
      <c r="G7" s="2"/>
      <c r="H7" s="1">
        <f>((D7*E7)*F7)/(12*100)</f>
        <v>1.7175</v>
      </c>
      <c r="J7" s="1" t="s">
        <v>13</v>
      </c>
      <c r="K7" s="4" t="s">
        <v>27</v>
      </c>
    </row>
    <row r="8" spans="1:1455" x14ac:dyDescent="0.3">
      <c r="K8" s="30"/>
    </row>
    <row r="10" spans="1:1455" ht="70.2" customHeight="1" x14ac:dyDescent="0.3">
      <c r="A10" s="35" t="s">
        <v>15</v>
      </c>
      <c r="B10" s="36"/>
      <c r="C10" s="36"/>
      <c r="D10" s="36"/>
      <c r="E10" s="36"/>
      <c r="F10" s="36"/>
      <c r="G10" s="36"/>
      <c r="H10" s="36"/>
      <c r="I10" s="36"/>
      <c r="J10" s="36"/>
      <c r="K10" s="37"/>
      <c r="L10" s="8"/>
      <c r="M10" s="40"/>
      <c r="N10" s="40"/>
    </row>
    <row r="11" spans="1:1455" x14ac:dyDescent="0.3">
      <c r="A11" s="5"/>
      <c r="B11" s="5" t="s">
        <v>16</v>
      </c>
      <c r="C11" s="5" t="s">
        <v>21</v>
      </c>
      <c r="D11" s="5" t="s">
        <v>28</v>
      </c>
      <c r="E11" s="5" t="s">
        <v>17</v>
      </c>
      <c r="F11" s="5" t="s">
        <v>19</v>
      </c>
      <c r="G11" s="5" t="s">
        <v>30</v>
      </c>
      <c r="H11" s="5" t="s">
        <v>18</v>
      </c>
      <c r="I11" s="5" t="s">
        <v>20</v>
      </c>
      <c r="J11" s="6" t="s">
        <v>29</v>
      </c>
      <c r="K11" s="5" t="s">
        <v>4</v>
      </c>
      <c r="L11" s="5" t="s">
        <v>35</v>
      </c>
      <c r="M11" s="5" t="s">
        <v>36</v>
      </c>
      <c r="N11" s="1" t="s">
        <v>39</v>
      </c>
      <c r="O11" s="9"/>
    </row>
    <row r="12" spans="1:1455" s="21" customFormat="1" x14ac:dyDescent="0.3">
      <c r="A12" s="15" t="s">
        <v>25</v>
      </c>
      <c r="B12" s="16" t="s">
        <v>23</v>
      </c>
      <c r="C12" s="15" t="s">
        <v>24</v>
      </c>
      <c r="D12" s="17">
        <v>50</v>
      </c>
      <c r="E12" s="17">
        <v>331.75</v>
      </c>
      <c r="F12" s="18">
        <v>45906</v>
      </c>
      <c r="G12" s="17">
        <v>185.78</v>
      </c>
      <c r="H12" s="19">
        <v>346</v>
      </c>
      <c r="I12" s="18">
        <v>45968</v>
      </c>
      <c r="J12" s="20">
        <v>193.76</v>
      </c>
      <c r="K12" s="17">
        <f>(((H12*D12)-(E12*D12))-(G12+J12))</f>
        <v>332.96000000000004</v>
      </c>
      <c r="L12" s="17">
        <v>12936.92</v>
      </c>
      <c r="M12" s="17">
        <f>((H12*D12)-J12)</f>
        <v>17106.240000000002</v>
      </c>
      <c r="N12" s="17" t="s">
        <v>47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</row>
    <row r="13" spans="1:1455" x14ac:dyDescent="0.3">
      <c r="A13" s="5" t="s">
        <v>25</v>
      </c>
      <c r="B13" s="5" t="s">
        <v>31</v>
      </c>
      <c r="C13" s="5" t="s">
        <v>32</v>
      </c>
      <c r="D13" s="1">
        <v>125</v>
      </c>
      <c r="E13" s="1">
        <v>46.6</v>
      </c>
      <c r="F13" s="4">
        <v>45876</v>
      </c>
      <c r="G13" s="2">
        <v>65.239999999999995</v>
      </c>
      <c r="H13" s="1">
        <v>0</v>
      </c>
      <c r="I13" s="4"/>
      <c r="J13" s="1"/>
      <c r="K13" s="1">
        <f t="shared" ref="K13:K18" si="0">(((H13*D13)-(E13*D13))-(G13+J13))</f>
        <v>-5890.24</v>
      </c>
      <c r="L13" s="1">
        <f>(L12-((D13*E13)+G13))</f>
        <v>7046.68</v>
      </c>
      <c r="M13" s="1"/>
      <c r="N13" s="1"/>
    </row>
    <row r="14" spans="1:1455" x14ac:dyDescent="0.3">
      <c r="A14" s="15" t="s">
        <v>25</v>
      </c>
      <c r="B14" s="15" t="s">
        <v>33</v>
      </c>
      <c r="C14" s="15" t="s">
        <v>34</v>
      </c>
      <c r="D14" s="17">
        <v>200</v>
      </c>
      <c r="E14" s="17">
        <v>30.1</v>
      </c>
      <c r="F14" s="18">
        <v>45876</v>
      </c>
      <c r="G14" s="19">
        <v>67.42</v>
      </c>
      <c r="H14" s="17">
        <v>31.1</v>
      </c>
      <c r="I14" s="18"/>
      <c r="J14" s="17">
        <v>69.66</v>
      </c>
      <c r="K14" s="17">
        <f t="shared" si="0"/>
        <v>62.920000000000016</v>
      </c>
      <c r="L14" s="17">
        <f>(L13-((D14*E14)+G14))</f>
        <v>959.26000000000022</v>
      </c>
      <c r="M14" s="17">
        <v>6150.34</v>
      </c>
      <c r="N14" s="17" t="s">
        <v>47</v>
      </c>
    </row>
    <row r="15" spans="1:1455" x14ac:dyDescent="0.3">
      <c r="A15" s="5" t="s">
        <v>25</v>
      </c>
      <c r="B15" s="5" t="s">
        <v>50</v>
      </c>
      <c r="C15" s="5" t="s">
        <v>51</v>
      </c>
      <c r="D15" s="1">
        <v>50</v>
      </c>
      <c r="E15" s="1">
        <v>125.75</v>
      </c>
      <c r="F15" s="24" t="s">
        <v>52</v>
      </c>
      <c r="G15" s="2">
        <v>70.42</v>
      </c>
      <c r="H15" s="1">
        <v>0</v>
      </c>
      <c r="I15" s="4"/>
      <c r="J15" s="1"/>
      <c r="K15" s="1">
        <f t="shared" si="0"/>
        <v>-6357.92</v>
      </c>
      <c r="L15" s="2">
        <f>(D34+K15)</f>
        <v>22207.58</v>
      </c>
      <c r="M15" s="1"/>
      <c r="N15" s="1"/>
    </row>
    <row r="16" spans="1:1455" x14ac:dyDescent="0.3">
      <c r="A16" s="5" t="s">
        <v>25</v>
      </c>
      <c r="B16" s="5" t="s">
        <v>53</v>
      </c>
      <c r="C16" s="5" t="s">
        <v>54</v>
      </c>
      <c r="D16" s="1">
        <v>500</v>
      </c>
      <c r="E16" s="1">
        <v>25.9</v>
      </c>
      <c r="F16" s="24" t="s">
        <v>52</v>
      </c>
      <c r="G16" s="2">
        <v>145.04</v>
      </c>
      <c r="H16" s="1">
        <v>0</v>
      </c>
      <c r="I16" s="4"/>
      <c r="J16" s="1"/>
      <c r="K16" s="1">
        <f t="shared" si="0"/>
        <v>-13095.04</v>
      </c>
      <c r="L16" s="1">
        <f>(L15+K16)</f>
        <v>9112.5400000000009</v>
      </c>
      <c r="M16" s="1"/>
      <c r="N16" s="1"/>
    </row>
    <row r="17" spans="1:14" x14ac:dyDescent="0.3">
      <c r="A17" s="15" t="s">
        <v>25</v>
      </c>
      <c r="B17" s="15" t="s">
        <v>55</v>
      </c>
      <c r="C17" s="15" t="s">
        <v>56</v>
      </c>
      <c r="D17" s="17">
        <v>250</v>
      </c>
      <c r="E17" s="17">
        <v>31.7</v>
      </c>
      <c r="F17" s="26" t="s">
        <v>52</v>
      </c>
      <c r="G17" s="19">
        <v>88.76</v>
      </c>
      <c r="H17" s="17">
        <v>36.5</v>
      </c>
      <c r="I17" s="18"/>
      <c r="J17" s="17">
        <v>102.2</v>
      </c>
      <c r="K17" s="17">
        <f t="shared" si="0"/>
        <v>1009.04</v>
      </c>
      <c r="L17" s="17">
        <f>(L16+K17)</f>
        <v>10121.580000000002</v>
      </c>
      <c r="M17" s="17">
        <v>9022.7999999999993</v>
      </c>
      <c r="N17" s="17" t="s">
        <v>47</v>
      </c>
    </row>
    <row r="18" spans="1:14" x14ac:dyDescent="0.3">
      <c r="A18" s="5" t="s">
        <v>25</v>
      </c>
      <c r="B18" s="5" t="s">
        <v>62</v>
      </c>
      <c r="C18" s="5" t="s">
        <v>63</v>
      </c>
      <c r="D18" s="1">
        <v>1250</v>
      </c>
      <c r="E18" s="1">
        <v>7.9</v>
      </c>
      <c r="F18" s="24" t="s">
        <v>60</v>
      </c>
      <c r="G18" s="2">
        <v>110.6</v>
      </c>
      <c r="H18" s="1"/>
      <c r="I18" s="4"/>
      <c r="J18" s="1"/>
      <c r="K18" s="1">
        <f t="shared" si="0"/>
        <v>-9985.6</v>
      </c>
      <c r="L18" s="1">
        <f>(L17+K18)</f>
        <v>135.98000000000138</v>
      </c>
      <c r="M18" s="1"/>
      <c r="N18" s="1"/>
    </row>
    <row r="19" spans="1:14" x14ac:dyDescent="0.3">
      <c r="A19" s="31" t="s">
        <v>25</v>
      </c>
      <c r="B19" s="31" t="s">
        <v>68</v>
      </c>
      <c r="C19" s="31" t="s">
        <v>71</v>
      </c>
      <c r="D19" s="32">
        <v>150</v>
      </c>
      <c r="E19" s="32">
        <v>47.8</v>
      </c>
      <c r="F19" s="33">
        <v>45785</v>
      </c>
      <c r="G19" s="34">
        <v>80.3</v>
      </c>
      <c r="H19" s="32"/>
      <c r="I19" s="33"/>
      <c r="J19" s="32"/>
      <c r="K19" s="32">
        <f>(((H19*D19)-(E19*D19))-(G19+J19))</f>
        <v>-7250.3</v>
      </c>
      <c r="L19" s="2">
        <v>6536.02</v>
      </c>
      <c r="M19" s="32"/>
      <c r="N19" s="32"/>
    </row>
    <row r="20" spans="1:14" s="1" customFormat="1" x14ac:dyDescent="0.3">
      <c r="A20" s="5" t="s">
        <v>11</v>
      </c>
      <c r="B20" s="5" t="s">
        <v>68</v>
      </c>
      <c r="C20" s="5" t="s">
        <v>71</v>
      </c>
      <c r="D20" s="1">
        <v>100</v>
      </c>
      <c r="E20" s="1">
        <v>47.5</v>
      </c>
      <c r="F20" s="4">
        <v>45785</v>
      </c>
      <c r="G20" s="2">
        <v>53.2</v>
      </c>
      <c r="K20" s="1">
        <f>(((H20*D20)-(E20*D20))-(G20+J20))</f>
        <v>-4803.2</v>
      </c>
      <c r="L20" s="1">
        <v>1732.82</v>
      </c>
    </row>
    <row r="21" spans="1:14" x14ac:dyDescent="0.3">
      <c r="A21" s="9"/>
      <c r="B21" s="9"/>
      <c r="C21" s="9"/>
      <c r="F21" s="30"/>
    </row>
    <row r="22" spans="1:14" x14ac:dyDescent="0.3">
      <c r="A22" s="9"/>
      <c r="B22" s="9"/>
      <c r="C22" s="9"/>
      <c r="F22" s="30"/>
    </row>
    <row r="23" spans="1:14" x14ac:dyDescent="0.3">
      <c r="A23" s="9"/>
      <c r="B23" s="9"/>
      <c r="C23" s="9"/>
      <c r="F23" s="30"/>
    </row>
    <row r="24" spans="1:14" x14ac:dyDescent="0.3">
      <c r="A24" s="9"/>
      <c r="B24" s="9"/>
      <c r="C24" s="9"/>
      <c r="F24" s="30"/>
    </row>
    <row r="25" spans="1:14" x14ac:dyDescent="0.3">
      <c r="A25" s="9"/>
      <c r="B25" s="9"/>
      <c r="C25" s="9"/>
      <c r="F25" s="30"/>
    </row>
    <row r="26" spans="1:14" x14ac:dyDescent="0.3">
      <c r="A26" s="9"/>
      <c r="B26" s="9"/>
      <c r="C26" s="9"/>
      <c r="F26" s="30"/>
    </row>
    <row r="27" spans="1:14" x14ac:dyDescent="0.3">
      <c r="A27" s="9"/>
      <c r="B27" s="9"/>
      <c r="C27" s="9"/>
      <c r="F27" s="30"/>
    </row>
    <row r="28" spans="1:14" x14ac:dyDescent="0.3">
      <c r="A28" s="9"/>
      <c r="B28" s="9"/>
      <c r="C28" s="9"/>
      <c r="F28" s="30"/>
    </row>
    <row r="29" spans="1:14" x14ac:dyDescent="0.3">
      <c r="A29" s="9"/>
      <c r="B29" s="9"/>
      <c r="C29" s="9"/>
      <c r="F29" s="30"/>
    </row>
    <row r="31" spans="1:14" x14ac:dyDescent="0.3">
      <c r="A31" s="41" t="s">
        <v>45</v>
      </c>
      <c r="B31" s="41"/>
      <c r="C31" s="41"/>
      <c r="D31" s="41"/>
      <c r="E31" s="11"/>
    </row>
    <row r="32" spans="1:14" ht="28.8" x14ac:dyDescent="0.3">
      <c r="A32" s="12" t="s">
        <v>41</v>
      </c>
      <c r="B32" s="12" t="s">
        <v>37</v>
      </c>
      <c r="C32" s="12" t="s">
        <v>42</v>
      </c>
      <c r="D32" s="13" t="s">
        <v>40</v>
      </c>
      <c r="E32" s="14" t="s">
        <v>39</v>
      </c>
      <c r="G32" s="3" t="s">
        <v>48</v>
      </c>
      <c r="H32">
        <v>27500</v>
      </c>
      <c r="I32" t="s">
        <v>49</v>
      </c>
      <c r="J32" s="30">
        <v>45785</v>
      </c>
    </row>
    <row r="33" spans="1:5" ht="54.6" customHeight="1" x14ac:dyDescent="0.3">
      <c r="A33" s="2">
        <v>10500</v>
      </c>
      <c r="B33" s="4">
        <v>45968</v>
      </c>
      <c r="C33" s="1" t="s">
        <v>38</v>
      </c>
      <c r="D33" s="1">
        <v>11459.26</v>
      </c>
      <c r="E33" s="10" t="s">
        <v>43</v>
      </c>
    </row>
    <row r="34" spans="1:5" ht="54.6" customHeight="1" x14ac:dyDescent="0.3">
      <c r="A34" s="2">
        <v>17106.240000000002</v>
      </c>
      <c r="B34" s="4">
        <v>45968</v>
      </c>
      <c r="C34" s="1" t="s">
        <v>23</v>
      </c>
      <c r="D34" s="2">
        <f t="shared" ref="D34:D43" si="1">(D33+A34)</f>
        <v>28565.5</v>
      </c>
      <c r="E34" s="10" t="s">
        <v>44</v>
      </c>
    </row>
    <row r="35" spans="1:5" ht="54.6" customHeight="1" x14ac:dyDescent="0.3">
      <c r="A35" s="1">
        <v>-6357.92</v>
      </c>
      <c r="B35" s="25" t="s">
        <v>52</v>
      </c>
      <c r="C35" s="1" t="s">
        <v>50</v>
      </c>
      <c r="D35" s="2">
        <f t="shared" si="1"/>
        <v>22207.58</v>
      </c>
      <c r="E35" s="10" t="s">
        <v>57</v>
      </c>
    </row>
    <row r="36" spans="1:5" ht="54.6" customHeight="1" x14ac:dyDescent="0.3">
      <c r="A36" s="1">
        <v>-13095.04</v>
      </c>
      <c r="B36" s="25" t="s">
        <v>52</v>
      </c>
      <c r="C36" s="1" t="s">
        <v>53</v>
      </c>
      <c r="D36" s="2">
        <f t="shared" si="1"/>
        <v>9112.5400000000009</v>
      </c>
      <c r="E36" s="10" t="s">
        <v>58</v>
      </c>
    </row>
    <row r="37" spans="1:5" ht="54.6" customHeight="1" x14ac:dyDescent="0.3">
      <c r="A37" s="1">
        <v>-8013.76</v>
      </c>
      <c r="B37" s="25" t="s">
        <v>52</v>
      </c>
      <c r="C37" s="1" t="s">
        <v>55</v>
      </c>
      <c r="D37" s="2">
        <f t="shared" si="1"/>
        <v>1098.7800000000007</v>
      </c>
      <c r="E37" s="10" t="s">
        <v>59</v>
      </c>
    </row>
    <row r="38" spans="1:5" ht="54.6" customHeight="1" x14ac:dyDescent="0.3">
      <c r="A38" s="1">
        <v>9022.7999999999993</v>
      </c>
      <c r="B38" s="25" t="s">
        <v>60</v>
      </c>
      <c r="C38" s="1" t="s">
        <v>55</v>
      </c>
      <c r="D38" s="2">
        <f t="shared" si="1"/>
        <v>10121.58</v>
      </c>
      <c r="E38" s="10" t="s">
        <v>61</v>
      </c>
    </row>
    <row r="39" spans="1:5" ht="54.6" customHeight="1" x14ac:dyDescent="0.3">
      <c r="A39" s="1">
        <v>-9985.6</v>
      </c>
      <c r="B39" s="25" t="s">
        <v>60</v>
      </c>
      <c r="C39" s="1" t="s">
        <v>64</v>
      </c>
      <c r="D39" s="2">
        <f t="shared" si="1"/>
        <v>135.97999999999956</v>
      </c>
      <c r="E39" s="10" t="s">
        <v>65</v>
      </c>
    </row>
    <row r="40" spans="1:5" ht="54.6" customHeight="1" x14ac:dyDescent="0.3">
      <c r="A40" s="1">
        <v>6150.34</v>
      </c>
      <c r="B40" s="4">
        <v>45785</v>
      </c>
      <c r="C40" s="1" t="s">
        <v>33</v>
      </c>
      <c r="D40" s="2">
        <f t="shared" si="1"/>
        <v>6286.32</v>
      </c>
      <c r="E40" s="10" t="s">
        <v>66</v>
      </c>
    </row>
    <row r="41" spans="1:5" ht="54.6" customHeight="1" x14ac:dyDescent="0.3">
      <c r="A41" s="1">
        <v>7500</v>
      </c>
      <c r="B41" s="4">
        <v>45785</v>
      </c>
      <c r="C41" s="1" t="s">
        <v>38</v>
      </c>
      <c r="D41" s="2">
        <f t="shared" si="1"/>
        <v>13786.32</v>
      </c>
      <c r="E41" s="10" t="s">
        <v>67</v>
      </c>
    </row>
    <row r="42" spans="1:5" ht="54.6" customHeight="1" x14ac:dyDescent="0.3">
      <c r="A42" s="1">
        <v>-7250.3</v>
      </c>
      <c r="B42" s="4">
        <v>45785</v>
      </c>
      <c r="C42" s="1" t="s">
        <v>68</v>
      </c>
      <c r="D42" s="2">
        <f t="shared" si="1"/>
        <v>6536.0199999999995</v>
      </c>
      <c r="E42" s="1" t="s">
        <v>69</v>
      </c>
    </row>
    <row r="43" spans="1:5" ht="54.6" customHeight="1" x14ac:dyDescent="0.3">
      <c r="A43" s="1">
        <v>-4803.2</v>
      </c>
      <c r="B43" s="4">
        <v>45785</v>
      </c>
      <c r="C43" s="1" t="s">
        <v>68</v>
      </c>
      <c r="D43" s="2">
        <f t="shared" si="1"/>
        <v>1732.8199999999997</v>
      </c>
      <c r="E43" s="1" t="s">
        <v>70</v>
      </c>
    </row>
    <row r="44" spans="1:5" ht="54.6" customHeight="1" x14ac:dyDescent="0.3">
      <c r="A44" s="1"/>
      <c r="B44" s="1"/>
      <c r="C44" s="1"/>
      <c r="D44" s="1"/>
      <c r="E44" s="1"/>
    </row>
  </sheetData>
  <mergeCells count="4">
    <mergeCell ref="A10:K10"/>
    <mergeCell ref="A1:J1"/>
    <mergeCell ref="M10:N10"/>
    <mergeCell ref="A31:D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Dinuk Pathiraja</dc:creator>
  <cp:lastModifiedBy>Dinuk Pathiraja</cp:lastModifiedBy>
  <dcterms:created xsi:type="dcterms:W3CDTF">2025-07-02T14:57:53Z</dcterms:created>
  <dcterms:modified xsi:type="dcterms:W3CDTF">2025-09-23T16:26:46Z</dcterms:modified>
</cp:coreProperties>
</file>